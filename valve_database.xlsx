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rge_\Desktop\Projeler\Kontrol Vanasi Analizleri\"/>
    </mc:Choice>
  </mc:AlternateContent>
  <bookViews>
    <workbookView xWindow="3255" yWindow="3255" windowWidth="28800" windowHeight="15465" firstSheet="20" activeTab="26"/>
  </bookViews>
  <sheets>
    <sheet name="Valve List" sheetId="1" r:id="rId1"/>
    <sheet name="Valve_2.0_600_3" sheetId="2" r:id="rId2"/>
    <sheet name="Valve_3.0_600_3" sheetId="14" r:id="rId3"/>
    <sheet name="Valve_4.0_600_3" sheetId="5" r:id="rId4"/>
    <sheet name="Valve_6.0_600_3" sheetId="15" r:id="rId5"/>
    <sheet name="Valve_8.0_600_3" sheetId="16" r:id="rId6"/>
    <sheet name="Valve_8.0_150_3" sheetId="6" r:id="rId7"/>
    <sheet name="Valve_10.0_600_3" sheetId="17" r:id="rId8"/>
    <sheet name="Valve_12.0_600_3" sheetId="7" r:id="rId9"/>
    <sheet name="Valve_16.0_600_3" sheetId="8" r:id="rId10"/>
    <sheet name="Valve_20.0_600_3" sheetId="9" r:id="rId11"/>
    <sheet name="Valve_4.0_600_4" sheetId="18" r:id="rId12"/>
    <sheet name="Valve_6.0_600_4" sheetId="13" r:id="rId13"/>
    <sheet name="Valve_8.0_600_4" sheetId="11" r:id="rId14"/>
    <sheet name="Valve_8.0_150_4" sheetId="19" r:id="rId15"/>
    <sheet name="Valve_10.0_600_4" sheetId="20" r:id="rId16"/>
    <sheet name="Valve_12.0_600_4" sheetId="21" r:id="rId17"/>
    <sheet name="Valve_14.0_600_4" sheetId="23" r:id="rId18"/>
    <sheet name="Valve_16.0_600_4" sheetId="24" r:id="rId19"/>
    <sheet name="Valve_18.0_600_4" sheetId="25" r:id="rId20"/>
    <sheet name="Valve_20.0_600_4" sheetId="26" r:id="rId21"/>
    <sheet name="Valve_24.0_600_4" sheetId="27" r:id="rId22"/>
    <sheet name="Valve_28.0_600_4" sheetId="28" r:id="rId23"/>
    <sheet name="Valve_30.0_600_4" sheetId="29" r:id="rId24"/>
    <sheet name="Valve_32.0_600_4" sheetId="30" r:id="rId25"/>
    <sheet name="Valve_36.0_600_4" sheetId="31" r:id="rId26"/>
    <sheet name="Valve_40.0_600_4" sheetId="32" r:id="rId27"/>
  </sheets>
  <calcPr calcId="162913"/>
</workbook>
</file>

<file path=xl/calcChain.xml><?xml version="1.0" encoding="utf-8"?>
<calcChain xmlns="http://schemas.openxmlformats.org/spreadsheetml/2006/main">
  <c r="C3" i="31" l="1"/>
  <c r="C4" i="31"/>
  <c r="C5" i="31"/>
  <c r="C6" i="31"/>
  <c r="C7" i="31"/>
  <c r="C8" i="31"/>
  <c r="C9" i="31"/>
  <c r="C10" i="31"/>
  <c r="C11" i="31"/>
  <c r="C12" i="31"/>
  <c r="C2" i="31"/>
  <c r="C3" i="30"/>
  <c r="C4" i="30"/>
  <c r="C5" i="30"/>
  <c r="C6" i="30"/>
  <c r="C7" i="30"/>
  <c r="C8" i="30"/>
  <c r="C9" i="30"/>
  <c r="C10" i="30"/>
  <c r="C11" i="30"/>
  <c r="C12" i="30"/>
  <c r="C2" i="30"/>
  <c r="D2" i="32" l="1"/>
  <c r="D3" i="32"/>
  <c r="D2" i="31"/>
  <c r="D3" i="31"/>
  <c r="D2" i="30"/>
  <c r="D3" i="30"/>
  <c r="D2" i="29"/>
  <c r="D3" i="29"/>
  <c r="D2" i="28"/>
  <c r="D3" i="28"/>
  <c r="D2" i="27"/>
  <c r="D3" i="27"/>
  <c r="D2" i="26"/>
  <c r="D3" i="26"/>
  <c r="D2" i="25"/>
  <c r="D3" i="25"/>
  <c r="D2" i="24"/>
  <c r="D3" i="24"/>
  <c r="D2" i="23"/>
  <c r="D3" i="23"/>
  <c r="D2" i="21"/>
  <c r="D3" i="21"/>
  <c r="D2" i="20"/>
  <c r="D3" i="20"/>
  <c r="D2" i="19"/>
  <c r="D3" i="19"/>
  <c r="D3" i="11"/>
  <c r="D2" i="11"/>
  <c r="D2" i="13"/>
  <c r="D2" i="18"/>
  <c r="D2" i="9"/>
  <c r="D2" i="8"/>
  <c r="D2" i="7"/>
  <c r="D2" i="17"/>
  <c r="D2" i="6"/>
  <c r="D2" i="16"/>
  <c r="D2" i="15"/>
  <c r="D2" i="5"/>
  <c r="D2" i="14"/>
  <c r="D2" i="2"/>
</calcChain>
</file>

<file path=xl/sharedStrings.xml><?xml version="1.0" encoding="utf-8"?>
<sst xmlns="http://schemas.openxmlformats.org/spreadsheetml/2006/main" count="162" uniqueCount="37">
  <si>
    <t>size</t>
  </si>
  <si>
    <t>rating_class</t>
  </si>
  <si>
    <t>valve_type</t>
  </si>
  <si>
    <t>fd</t>
  </si>
  <si>
    <t>diameter</t>
  </si>
  <si>
    <t>sheet_name</t>
  </si>
  <si>
    <t>Valve_2.0_600_3</t>
  </si>
  <si>
    <t>Valve_4.0_600_3</t>
  </si>
  <si>
    <t>Valve_8.0_600_3</t>
  </si>
  <si>
    <t>Valve_12.0_600_3</t>
  </si>
  <si>
    <t>Valve_16.0_600_3</t>
  </si>
  <si>
    <t>Valve_20.0_600_3</t>
  </si>
  <si>
    <t>Valve_8.0_600_4</t>
  </si>
  <si>
    <t>Opening (%)</t>
  </si>
  <si>
    <t>Cv</t>
  </si>
  <si>
    <t>Fl</t>
  </si>
  <si>
    <t>Xt</t>
  </si>
  <si>
    <t>ValveList</t>
  </si>
  <si>
    <t>Valve_6.0_600_4</t>
  </si>
  <si>
    <t>Valve_3.0_600_3</t>
  </si>
  <si>
    <t>Valve_6.0_600_3</t>
  </si>
  <si>
    <t>Valve_8.0_150_3</t>
  </si>
  <si>
    <t>Valve_10.0_600_3</t>
  </si>
  <si>
    <t>Valve_4.0_600_4</t>
  </si>
  <si>
    <t>Valve_8.0_150_4</t>
  </si>
  <si>
    <t>Valve_10.0_600_4</t>
  </si>
  <si>
    <t>Valve_12.0_600_4</t>
  </si>
  <si>
    <t>Valve_14.0_600_4</t>
  </si>
  <si>
    <t>Valve_16.0_600_4</t>
  </si>
  <si>
    <t>Valve_18.0_600_4</t>
  </si>
  <si>
    <t>Valve_20.0_600_4</t>
  </si>
  <si>
    <t>Valve_24.0_600_4</t>
  </si>
  <si>
    <t>Valve_28.0_600_4</t>
  </si>
  <si>
    <t>Valve_30.0_600_4</t>
  </si>
  <si>
    <t>Valve_32.0_600_4</t>
  </si>
  <si>
    <t>Valve_36.0_600_4</t>
  </si>
  <si>
    <t>Valve_40.0_600_4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</si>
</sst>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1" applyAlignment="1">
      <alignment horizontal="center" vertical="center"/>
    </xf>
    <xf numFmtId="0" fontId="2" fillId="0" borderId="2" xfId="1" applyFill="1" applyBorder="1" applyAlignment="1">
      <alignment horizontal="center" vertic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" fillId="0" borderId="10" xfId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4" xfId="0" applyBorder="1"/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0" borderId="10" xfId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2" fontId="0" fillId="0" borderId="0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</cellXfs>
  <cellStyles count="2">
    <cellStyle name="Köprü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7"/>
  <sheetViews>
    <sheetView workbookViewId="0">
      <selection activeCell="I12" sqref="I12"/>
    </sheetView>
  </sheetViews>
  <sheetFormatPr defaultRowHeight="15" x14ac:dyDescent="0.25"/>
  <cols>
    <col min="1" max="1" width="9.140625" style="2"/>
    <col min="2" max="2" width="20.85546875" style="2" customWidth="1"/>
    <col min="3" max="5" width="9.140625" style="2"/>
    <col min="6" max="6" width="27.42578125" style="2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/>
    </row>
    <row r="2" spans="1:7" x14ac:dyDescent="0.25">
      <c r="A2" s="2">
        <v>2</v>
      </c>
      <c r="B2" s="2">
        <v>600</v>
      </c>
      <c r="C2" s="2">
        <v>3</v>
      </c>
      <c r="D2" s="2">
        <v>0.7</v>
      </c>
      <c r="E2" s="2">
        <v>2</v>
      </c>
      <c r="F2" s="3" t="s">
        <v>6</v>
      </c>
    </row>
    <row r="3" spans="1:7" x14ac:dyDescent="0.25">
      <c r="A3" s="2">
        <v>3</v>
      </c>
      <c r="B3" s="2">
        <v>600</v>
      </c>
      <c r="C3" s="2">
        <v>3</v>
      </c>
      <c r="D3" s="2">
        <v>1</v>
      </c>
      <c r="E3" s="2">
        <v>3</v>
      </c>
      <c r="F3" s="3" t="s">
        <v>19</v>
      </c>
    </row>
    <row r="4" spans="1:7" x14ac:dyDescent="0.25">
      <c r="A4" s="2">
        <v>4</v>
      </c>
      <c r="B4" s="2">
        <v>600</v>
      </c>
      <c r="C4" s="2">
        <v>3</v>
      </c>
      <c r="D4" s="2">
        <v>1</v>
      </c>
      <c r="E4" s="2">
        <v>4</v>
      </c>
      <c r="F4" s="3" t="s">
        <v>7</v>
      </c>
    </row>
    <row r="5" spans="1:7" x14ac:dyDescent="0.25">
      <c r="A5" s="2">
        <v>6</v>
      </c>
      <c r="B5" s="2">
        <v>600</v>
      </c>
      <c r="C5" s="2">
        <v>3</v>
      </c>
      <c r="D5" s="2">
        <v>1</v>
      </c>
      <c r="E5" s="2">
        <v>6</v>
      </c>
      <c r="F5" s="3" t="s">
        <v>20</v>
      </c>
    </row>
    <row r="6" spans="1:7" x14ac:dyDescent="0.25">
      <c r="A6" s="2">
        <v>8</v>
      </c>
      <c r="B6" s="2">
        <v>600</v>
      </c>
      <c r="C6" s="2">
        <v>3</v>
      </c>
      <c r="D6" s="2">
        <v>1</v>
      </c>
      <c r="E6" s="2">
        <v>8</v>
      </c>
      <c r="F6" s="3" t="s">
        <v>8</v>
      </c>
    </row>
    <row r="7" spans="1:7" x14ac:dyDescent="0.25">
      <c r="A7" s="2">
        <v>8</v>
      </c>
      <c r="B7" s="2">
        <v>150</v>
      </c>
      <c r="C7" s="2">
        <v>3</v>
      </c>
      <c r="D7" s="2">
        <v>1</v>
      </c>
      <c r="E7" s="2">
        <v>8</v>
      </c>
      <c r="F7" s="3" t="s">
        <v>21</v>
      </c>
    </row>
    <row r="8" spans="1:7" x14ac:dyDescent="0.25">
      <c r="A8" s="2">
        <v>10</v>
      </c>
      <c r="B8" s="2">
        <v>600</v>
      </c>
      <c r="C8" s="2">
        <v>3</v>
      </c>
      <c r="D8" s="2">
        <v>1</v>
      </c>
      <c r="E8" s="2">
        <v>10</v>
      </c>
      <c r="F8" s="3" t="s">
        <v>22</v>
      </c>
    </row>
    <row r="9" spans="1:7" x14ac:dyDescent="0.25">
      <c r="A9" s="2">
        <v>12</v>
      </c>
      <c r="B9" s="2">
        <v>600</v>
      </c>
      <c r="C9" s="2">
        <v>3</v>
      </c>
      <c r="D9" s="2">
        <v>1</v>
      </c>
      <c r="E9" s="2">
        <v>12</v>
      </c>
      <c r="F9" s="3" t="s">
        <v>9</v>
      </c>
    </row>
    <row r="10" spans="1:7" x14ac:dyDescent="0.25">
      <c r="A10" s="2">
        <v>16</v>
      </c>
      <c r="B10" s="2">
        <v>600</v>
      </c>
      <c r="C10" s="2">
        <v>3</v>
      </c>
      <c r="D10" s="2">
        <v>1</v>
      </c>
      <c r="E10" s="2">
        <v>16</v>
      </c>
      <c r="F10" s="3" t="s">
        <v>10</v>
      </c>
    </row>
    <row r="11" spans="1:7" x14ac:dyDescent="0.25">
      <c r="A11" s="2">
        <v>20</v>
      </c>
      <c r="B11" s="2">
        <v>600</v>
      </c>
      <c r="C11" s="2">
        <v>3</v>
      </c>
      <c r="D11" s="2">
        <v>1</v>
      </c>
      <c r="E11" s="2">
        <v>20</v>
      </c>
      <c r="F11" s="3" t="s">
        <v>11</v>
      </c>
    </row>
    <row r="12" spans="1:7" x14ac:dyDescent="0.25">
      <c r="A12" s="2">
        <v>4</v>
      </c>
      <c r="B12" s="2">
        <v>600</v>
      </c>
      <c r="C12" s="2">
        <v>4</v>
      </c>
      <c r="D12" s="2">
        <v>1</v>
      </c>
      <c r="E12" s="2">
        <v>4</v>
      </c>
      <c r="F12" s="3" t="s">
        <v>23</v>
      </c>
    </row>
    <row r="13" spans="1:7" x14ac:dyDescent="0.25">
      <c r="A13" s="2">
        <v>6</v>
      </c>
      <c r="B13" s="2">
        <v>600</v>
      </c>
      <c r="C13" s="2">
        <v>4</v>
      </c>
      <c r="D13" s="2">
        <v>1</v>
      </c>
      <c r="E13" s="2">
        <v>6</v>
      </c>
      <c r="F13" s="3" t="s">
        <v>18</v>
      </c>
    </row>
    <row r="14" spans="1:7" x14ac:dyDescent="0.25">
      <c r="A14" s="2">
        <v>8</v>
      </c>
      <c r="B14" s="2">
        <v>600</v>
      </c>
      <c r="C14" s="2">
        <v>4</v>
      </c>
      <c r="D14" s="2">
        <v>1</v>
      </c>
      <c r="E14" s="2">
        <v>8</v>
      </c>
      <c r="F14" s="3" t="s">
        <v>12</v>
      </c>
    </row>
    <row r="15" spans="1:7" x14ac:dyDescent="0.25">
      <c r="A15" s="2">
        <v>8</v>
      </c>
      <c r="B15" s="2">
        <v>150</v>
      </c>
      <c r="C15" s="2">
        <v>4</v>
      </c>
      <c r="D15" s="2">
        <v>1</v>
      </c>
      <c r="E15" s="2">
        <v>8</v>
      </c>
      <c r="F15" s="3" t="s">
        <v>24</v>
      </c>
    </row>
    <row r="16" spans="1:7" x14ac:dyDescent="0.25">
      <c r="A16" s="2">
        <v>10</v>
      </c>
      <c r="B16" s="2">
        <v>600</v>
      </c>
      <c r="C16" s="2">
        <v>4</v>
      </c>
      <c r="D16" s="2">
        <v>1</v>
      </c>
      <c r="E16" s="2">
        <v>8</v>
      </c>
      <c r="F16" s="3" t="s">
        <v>25</v>
      </c>
    </row>
    <row r="17" spans="1:6" x14ac:dyDescent="0.25">
      <c r="A17" s="2">
        <v>12</v>
      </c>
      <c r="B17" s="2">
        <v>600</v>
      </c>
      <c r="C17" s="2">
        <v>4</v>
      </c>
      <c r="D17" s="2">
        <v>1</v>
      </c>
      <c r="E17" s="2">
        <v>8</v>
      </c>
      <c r="F17" s="3" t="s">
        <v>26</v>
      </c>
    </row>
    <row r="18" spans="1:6" x14ac:dyDescent="0.25">
      <c r="A18" s="2">
        <v>14</v>
      </c>
      <c r="B18" s="2">
        <v>600</v>
      </c>
      <c r="C18" s="2">
        <v>4</v>
      </c>
      <c r="D18" s="2">
        <v>1</v>
      </c>
      <c r="E18" s="2">
        <v>8</v>
      </c>
      <c r="F18" s="3" t="s">
        <v>27</v>
      </c>
    </row>
    <row r="19" spans="1:6" x14ac:dyDescent="0.25">
      <c r="A19" s="2">
        <v>16</v>
      </c>
      <c r="B19" s="2">
        <v>600</v>
      </c>
      <c r="C19" s="2">
        <v>4</v>
      </c>
      <c r="D19" s="2">
        <v>1</v>
      </c>
      <c r="E19" s="2">
        <v>8</v>
      </c>
      <c r="F19" s="3" t="s">
        <v>28</v>
      </c>
    </row>
    <row r="20" spans="1:6" x14ac:dyDescent="0.25">
      <c r="A20" s="2">
        <v>18</v>
      </c>
      <c r="B20" s="2">
        <v>600</v>
      </c>
      <c r="C20" s="2">
        <v>4</v>
      </c>
      <c r="D20" s="2">
        <v>1</v>
      </c>
      <c r="E20" s="2">
        <v>8</v>
      </c>
      <c r="F20" s="3" t="s">
        <v>29</v>
      </c>
    </row>
    <row r="21" spans="1:6" x14ac:dyDescent="0.25">
      <c r="A21" s="2">
        <v>20</v>
      </c>
      <c r="B21" s="2">
        <v>600</v>
      </c>
      <c r="C21" s="2">
        <v>4</v>
      </c>
      <c r="D21" s="2">
        <v>1</v>
      </c>
      <c r="E21" s="2">
        <v>8</v>
      </c>
      <c r="F21" s="3" t="s">
        <v>30</v>
      </c>
    </row>
    <row r="22" spans="1:6" x14ac:dyDescent="0.25">
      <c r="A22" s="2">
        <v>24</v>
      </c>
      <c r="B22" s="2">
        <v>600</v>
      </c>
      <c r="C22" s="2">
        <v>4</v>
      </c>
      <c r="D22" s="2">
        <v>1</v>
      </c>
      <c r="E22" s="2">
        <v>8</v>
      </c>
      <c r="F22" s="3" t="s">
        <v>31</v>
      </c>
    </row>
    <row r="23" spans="1:6" x14ac:dyDescent="0.25">
      <c r="A23" s="2">
        <v>28</v>
      </c>
      <c r="B23" s="2">
        <v>600</v>
      </c>
      <c r="C23" s="2">
        <v>4</v>
      </c>
      <c r="D23" s="2">
        <v>1</v>
      </c>
      <c r="E23" s="2">
        <v>8</v>
      </c>
      <c r="F23" s="3" t="s">
        <v>32</v>
      </c>
    </row>
    <row r="24" spans="1:6" x14ac:dyDescent="0.25">
      <c r="A24" s="2">
        <v>30</v>
      </c>
      <c r="B24" s="2">
        <v>600</v>
      </c>
      <c r="C24" s="2">
        <v>4</v>
      </c>
      <c r="D24" s="2">
        <v>1</v>
      </c>
      <c r="E24" s="2">
        <v>8</v>
      </c>
      <c r="F24" s="3" t="s">
        <v>33</v>
      </c>
    </row>
    <row r="25" spans="1:6" x14ac:dyDescent="0.25">
      <c r="A25" s="2">
        <v>32</v>
      </c>
      <c r="B25" s="2">
        <v>600</v>
      </c>
      <c r="C25" s="2">
        <v>4</v>
      </c>
      <c r="D25" s="2">
        <v>1</v>
      </c>
      <c r="E25" s="2">
        <v>8</v>
      </c>
      <c r="F25" s="3" t="s">
        <v>34</v>
      </c>
    </row>
    <row r="26" spans="1:6" x14ac:dyDescent="0.25">
      <c r="A26" s="2">
        <v>36</v>
      </c>
      <c r="B26" s="2">
        <v>600</v>
      </c>
      <c r="C26" s="2">
        <v>4</v>
      </c>
      <c r="D26" s="2">
        <v>1</v>
      </c>
      <c r="E26" s="2">
        <v>8</v>
      </c>
      <c r="F26" s="3" t="s">
        <v>35</v>
      </c>
    </row>
    <row r="27" spans="1:6" x14ac:dyDescent="0.25">
      <c r="A27" s="2">
        <v>40</v>
      </c>
      <c r="B27" s="2">
        <v>600</v>
      </c>
      <c r="C27" s="2">
        <v>4</v>
      </c>
      <c r="D27" s="2">
        <v>1</v>
      </c>
      <c r="E27" s="2">
        <v>8</v>
      </c>
      <c r="F27" s="3" t="s">
        <v>36</v>
      </c>
    </row>
  </sheetData>
  <hyperlinks>
    <hyperlink ref="F2" location="Valve_2.0_600_3!A1" display="Valve_2.0_600_3"/>
    <hyperlink ref="F4" location="Valve_4.0_600_3!A1" display="Valve_4.0_600_3"/>
    <hyperlink ref="F7" location="Valve_8.0_150_3!A1" display="Valve_8.0_150_3"/>
    <hyperlink ref="F9" location="Valve_12.0_600_3!A1" display="Valve_12.0_600_3"/>
    <hyperlink ref="F10" location="Valve_16.0_600_3!A1" display="Valve_16.0_600_3"/>
    <hyperlink ref="F11" location="Valve_20.0_600_3!A1" display="Valve_20.0_600_3"/>
    <hyperlink ref="F14" location="Valve_8.0_600_4!A1" display="Valve_8.0_600_4"/>
    <hyperlink ref="F13" location="Valve_6.0_600_4!A1" display="Valve_6.0_600_4"/>
    <hyperlink ref="F3" location="Valve_3.0_600_3!A1" display="Valve_3.0_600_3"/>
    <hyperlink ref="F5" location="Valve_6.0_600_3!A1" display="Valve_6.0_600_3"/>
    <hyperlink ref="F6" location="Valve_8.0_600_3!A1" display="Valve_8.0_600_3"/>
    <hyperlink ref="F8" location="Valve_10.0_600_3!A1" display="Valve_10.0_600_3"/>
    <hyperlink ref="F12" location="Valve_4.0_600_4!A1" display="Valve_4.0_600_4"/>
    <hyperlink ref="F15" location="Valve_8.0_150_4!A1" display="Valve_8.0_150_4"/>
    <hyperlink ref="F16" location="Valve_10.0_600_4!A1" display="Valve_10.0_600_4"/>
    <hyperlink ref="F17" location="Valve_12.0_600_4!A1" display="Valve_12.0_600_4"/>
    <hyperlink ref="F18" location="Valve_14.0_600_4!A1" display="Valve_14.0_600_4"/>
    <hyperlink ref="F19" location="Valve_16.0_600_4!A1" display="Valve_16.0_600_4"/>
    <hyperlink ref="F20" location="Valve_18.0_600_4!A1" display="Valve_18.0_600_4"/>
    <hyperlink ref="F21" location="Valve_20.0_600_4!A1" display="Valve_20.0_600_4"/>
    <hyperlink ref="F23" location="Valve_28.0_600_4!A1" display="Valve_28.0_600_4"/>
    <hyperlink ref="F24" location="Valve_30.0_600_4!A1" display="Valve_30.0_600_4"/>
    <hyperlink ref="F25" location="Valve_32.0_600_4!A1" display="Valve_32.0_600_4"/>
    <hyperlink ref="F26" location="Valve_36.0_600_4!A1" display="Valve_36.0_600_4"/>
    <hyperlink ref="F27" location="Valve_40.0_600_4!A1" display="Valve_40.0_600_4"/>
    <hyperlink ref="F22" location="Valve_24.0_600_4!A1" display="Valve_24.0_600_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0.73143694191638975</v>
      </c>
      <c r="D2" s="25">
        <f>D3</f>
        <v>0.53500000000000003</v>
      </c>
      <c r="E2" s="10"/>
    </row>
    <row r="3" spans="1:5" x14ac:dyDescent="0.25">
      <c r="A3" s="8">
        <v>10</v>
      </c>
      <c r="B3" s="25">
        <v>13.31202233912504</v>
      </c>
      <c r="C3" s="25">
        <v>0.73143694191638975</v>
      </c>
      <c r="D3" s="25">
        <v>0.53500000000000003</v>
      </c>
      <c r="E3" s="10"/>
    </row>
    <row r="4" spans="1:5" x14ac:dyDescent="0.25">
      <c r="A4" s="8">
        <v>20</v>
      </c>
      <c r="B4" s="25">
        <v>32.692258744082537</v>
      </c>
      <c r="C4" s="25">
        <v>0.80932070281193225</v>
      </c>
      <c r="D4" s="25">
        <v>0.65500000000000003</v>
      </c>
      <c r="E4" s="10"/>
    </row>
    <row r="5" spans="1:5" x14ac:dyDescent="0.25">
      <c r="A5" s="8">
        <v>30</v>
      </c>
      <c r="B5" s="25">
        <v>35.413745781315342</v>
      </c>
      <c r="C5" s="25">
        <v>0.78740078740118113</v>
      </c>
      <c r="D5" s="25">
        <v>0.62</v>
      </c>
      <c r="E5" s="10"/>
    </row>
    <row r="6" spans="1:5" x14ac:dyDescent="0.25">
      <c r="A6" s="8">
        <v>40</v>
      </c>
      <c r="B6" s="25">
        <v>38.501103306692336</v>
      </c>
      <c r="C6" s="25">
        <v>0.78740078740118113</v>
      </c>
      <c r="D6" s="25">
        <v>0.62</v>
      </c>
      <c r="E6" s="10"/>
    </row>
    <row r="7" spans="1:5" x14ac:dyDescent="0.25">
      <c r="A7" s="8">
        <v>50</v>
      </c>
      <c r="B7" s="25">
        <v>42.26830779705768</v>
      </c>
      <c r="C7" s="25">
        <v>0.8660254037844386</v>
      </c>
      <c r="D7" s="25">
        <v>0.75</v>
      </c>
      <c r="E7" s="10"/>
    </row>
    <row r="8" spans="1:5" x14ac:dyDescent="0.25">
      <c r="A8" s="8">
        <v>60</v>
      </c>
      <c r="B8" s="25">
        <v>43.230829971221965</v>
      </c>
      <c r="C8" s="25">
        <v>0.8660254037844386</v>
      </c>
      <c r="D8" s="25">
        <v>0.75</v>
      </c>
      <c r="E8" s="10"/>
    </row>
    <row r="9" spans="1:5" x14ac:dyDescent="0.25">
      <c r="A9" s="8">
        <v>70</v>
      </c>
      <c r="B9" s="25">
        <v>44.654446769820602</v>
      </c>
      <c r="C9" s="25">
        <v>0.84557672626438818</v>
      </c>
      <c r="D9" s="25">
        <v>0.71499999999999997</v>
      </c>
      <c r="E9" s="10"/>
    </row>
    <row r="10" spans="1:5" x14ac:dyDescent="0.25">
      <c r="A10" s="8">
        <v>80</v>
      </c>
      <c r="B10" s="25">
        <v>44.719984309519162</v>
      </c>
      <c r="C10" s="25">
        <v>0.84852813742385702</v>
      </c>
      <c r="D10" s="25">
        <v>0.72</v>
      </c>
      <c r="E10" s="10"/>
    </row>
    <row r="11" spans="1:5" x14ac:dyDescent="0.25">
      <c r="A11" s="8">
        <v>90</v>
      </c>
      <c r="B11" s="25">
        <v>46.670236841657392</v>
      </c>
      <c r="C11" s="25">
        <v>0.79624116949577528</v>
      </c>
      <c r="D11" s="25">
        <v>0.63400000000000001</v>
      </c>
      <c r="E11" s="10"/>
    </row>
    <row r="12" spans="1:5" ht="15.75" thickBot="1" x14ac:dyDescent="0.3">
      <c r="A12" s="11">
        <v>100</v>
      </c>
      <c r="B12" s="26">
        <v>48.040070456780072</v>
      </c>
      <c r="C12" s="26">
        <v>0.79686887252546135</v>
      </c>
      <c r="D12" s="26">
        <v>0.63500000000000001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5" sqref="J15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0.88600225733346749</v>
      </c>
      <c r="D2" s="25">
        <f>D3</f>
        <v>0.78500000000000003</v>
      </c>
      <c r="E2" s="10"/>
    </row>
    <row r="3" spans="1:5" x14ac:dyDescent="0.25">
      <c r="A3" s="8">
        <v>10</v>
      </c>
      <c r="B3" s="25">
        <v>34.430616282164827</v>
      </c>
      <c r="C3" s="25">
        <v>0.88600225733346749</v>
      </c>
      <c r="D3" s="25">
        <v>0.78500000000000003</v>
      </c>
      <c r="E3" s="10"/>
    </row>
    <row r="4" spans="1:5" x14ac:dyDescent="0.25">
      <c r="A4" s="8">
        <v>20</v>
      </c>
      <c r="B4" s="25">
        <v>39.575421013982563</v>
      </c>
      <c r="C4" s="25">
        <v>0.88600225733346749</v>
      </c>
      <c r="D4" s="25">
        <v>0.78500000000000003</v>
      </c>
      <c r="E4" s="10"/>
    </row>
    <row r="5" spans="1:5" x14ac:dyDescent="0.25">
      <c r="A5" s="8">
        <v>30</v>
      </c>
      <c r="B5" s="25">
        <v>45.488989671244326</v>
      </c>
      <c r="C5" s="25">
        <v>0.88600225733346749</v>
      </c>
      <c r="D5" s="25">
        <v>0.78500000000000003</v>
      </c>
      <c r="E5" s="10"/>
    </row>
    <row r="6" spans="1:5" x14ac:dyDescent="0.25">
      <c r="A6" s="8">
        <v>40</v>
      </c>
      <c r="B6" s="25">
        <v>52.286195024418767</v>
      </c>
      <c r="C6" s="25">
        <v>0.88600225733346749</v>
      </c>
      <c r="D6" s="25">
        <v>0.78500000000000003</v>
      </c>
      <c r="E6" s="10"/>
    </row>
    <row r="7" spans="1:5" x14ac:dyDescent="0.25">
      <c r="A7" s="8">
        <v>50</v>
      </c>
      <c r="B7" s="25">
        <v>20.033024913570408</v>
      </c>
      <c r="C7" s="25">
        <v>0.88600225733346749</v>
      </c>
      <c r="D7" s="25">
        <v>0.78500000000000003</v>
      </c>
      <c r="E7" s="10"/>
    </row>
    <row r="8" spans="1:5" x14ac:dyDescent="0.25">
      <c r="A8" s="8">
        <v>60</v>
      </c>
      <c r="B8" s="25">
        <v>69.079396253691058</v>
      </c>
      <c r="C8" s="25">
        <v>0.88600225733346749</v>
      </c>
      <c r="D8" s="25">
        <v>0.78500000000000003</v>
      </c>
      <c r="E8" s="10"/>
    </row>
    <row r="9" spans="1:5" x14ac:dyDescent="0.25">
      <c r="A9" s="8">
        <v>70</v>
      </c>
      <c r="B9" s="25">
        <v>79.40160488930006</v>
      </c>
      <c r="C9" s="25">
        <v>0.88600225733346749</v>
      </c>
      <c r="D9" s="25">
        <v>0.78500000000000003</v>
      </c>
      <c r="E9" s="10"/>
    </row>
    <row r="10" spans="1:5" x14ac:dyDescent="0.25">
      <c r="A10" s="8">
        <v>80</v>
      </c>
      <c r="B10" s="25">
        <v>91.266212516436852</v>
      </c>
      <c r="C10" s="25">
        <v>0.88600225733346749</v>
      </c>
      <c r="D10" s="25">
        <v>0.78500000000000003</v>
      </c>
      <c r="E10" s="10"/>
    </row>
    <row r="11" spans="1:5" x14ac:dyDescent="0.25">
      <c r="A11" s="8">
        <v>90</v>
      </c>
      <c r="B11" s="25">
        <v>104.90369254762857</v>
      </c>
      <c r="C11" s="25">
        <v>0.88600225733346749</v>
      </c>
      <c r="D11" s="25">
        <v>0.78500000000000003</v>
      </c>
      <c r="E11" s="10"/>
    </row>
    <row r="12" spans="1:5" ht="15.75" thickBot="1" x14ac:dyDescent="0.3">
      <c r="A12" s="11">
        <v>100</v>
      </c>
      <c r="B12" s="26">
        <v>120.5789569512972</v>
      </c>
      <c r="C12" s="26">
        <v>0.88600225733346749</v>
      </c>
      <c r="D12" s="26">
        <v>0.78500000000000003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18" sqref="L18:M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0.74833147735478833</v>
      </c>
      <c r="D2" s="25">
        <f>D3</f>
        <v>0.56000000000000005</v>
      </c>
      <c r="E2" s="17"/>
    </row>
    <row r="3" spans="1:5" x14ac:dyDescent="0.25">
      <c r="A3" s="8">
        <v>10</v>
      </c>
      <c r="B3" s="25">
        <v>38.043017182577891</v>
      </c>
      <c r="C3" s="25">
        <v>0.74833147735478833</v>
      </c>
      <c r="D3" s="25">
        <v>0.56000000000000005</v>
      </c>
      <c r="E3" s="17"/>
    </row>
    <row r="4" spans="1:5" x14ac:dyDescent="0.25">
      <c r="A4" s="8">
        <v>20</v>
      </c>
      <c r="B4" s="25">
        <v>80.246766739175129</v>
      </c>
      <c r="C4" s="25">
        <v>0.77136243102707558</v>
      </c>
      <c r="D4" s="25">
        <v>0.59499999999999997</v>
      </c>
      <c r="E4" s="17"/>
    </row>
    <row r="5" spans="1:5" x14ac:dyDescent="0.25">
      <c r="A5" s="8">
        <v>30</v>
      </c>
      <c r="B5" s="25">
        <v>118.19476772685371</v>
      </c>
      <c r="C5" s="25">
        <v>0.78102496759066542</v>
      </c>
      <c r="D5" s="25">
        <v>0.61</v>
      </c>
      <c r="E5" s="17"/>
    </row>
    <row r="6" spans="1:5" x14ac:dyDescent="0.25">
      <c r="A6" s="8">
        <v>40</v>
      </c>
      <c r="B6" s="25">
        <v>139.21847882617462</v>
      </c>
      <c r="C6" s="25">
        <v>0.83666002653407556</v>
      </c>
      <c r="D6" s="25">
        <v>0.7</v>
      </c>
      <c r="E6" s="17"/>
    </row>
    <row r="7" spans="1:5" x14ac:dyDescent="0.25">
      <c r="A7" s="8">
        <v>50</v>
      </c>
      <c r="B7" s="25">
        <v>155.26096587806657</v>
      </c>
      <c r="C7" s="25">
        <v>0.8544003745317531</v>
      </c>
      <c r="D7" s="25">
        <v>0.73</v>
      </c>
      <c r="E7" s="17"/>
    </row>
    <row r="8" spans="1:5" x14ac:dyDescent="0.25">
      <c r="A8" s="8">
        <v>60</v>
      </c>
      <c r="B8" s="25">
        <v>156.95350477559671</v>
      </c>
      <c r="C8" s="25">
        <v>0.87177978870813466</v>
      </c>
      <c r="D8" s="25">
        <v>0.76</v>
      </c>
      <c r="E8" s="17"/>
    </row>
    <row r="9" spans="1:5" x14ac:dyDescent="0.25">
      <c r="A9" s="8">
        <v>70</v>
      </c>
      <c r="B9" s="25">
        <v>169.70553538262996</v>
      </c>
      <c r="C9" s="25">
        <v>0.8544003745317531</v>
      </c>
      <c r="D9" s="25">
        <v>0.73</v>
      </c>
      <c r="E9" s="17"/>
    </row>
    <row r="10" spans="1:5" x14ac:dyDescent="0.25">
      <c r="A10" s="8">
        <v>80</v>
      </c>
      <c r="B10" s="25">
        <v>171.43697025221709</v>
      </c>
      <c r="C10" s="25">
        <v>0.83066238629180744</v>
      </c>
      <c r="D10" s="25">
        <v>0.69</v>
      </c>
      <c r="E10" s="17"/>
    </row>
    <row r="11" spans="1:5" x14ac:dyDescent="0.25">
      <c r="A11" s="8">
        <v>90</v>
      </c>
      <c r="B11" s="25">
        <v>176.87229528170275</v>
      </c>
      <c r="C11" s="25">
        <v>0.83306662398634113</v>
      </c>
      <c r="D11" s="25">
        <v>0.69399999999999995</v>
      </c>
      <c r="E11" s="17"/>
    </row>
    <row r="12" spans="1:5" ht="15.75" thickBot="1" x14ac:dyDescent="0.3">
      <c r="A12" s="11">
        <v>100</v>
      </c>
      <c r="B12" s="26">
        <v>182.5517650824853</v>
      </c>
      <c r="C12" s="26">
        <v>0.83666002653407556</v>
      </c>
      <c r="D12" s="26">
        <v>0.7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7" sqref="H1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110.55713754770203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127.0771695950598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146.06571217822966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167.89162319336742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192.97887723375567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221.81480141810997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254.95954185989652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293.05694466654774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336.84706283511235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387.18053199438202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9" sqref="H9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177.82355586572021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209.20418337143556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246.12256867227714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289.55596314385548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340.65407428688883</v>
      </c>
      <c r="C7" s="25">
        <v>0.88600225733346749</v>
      </c>
      <c r="D7" s="25">
        <v>0.78500000000000003</v>
      </c>
      <c r="E7" s="17"/>
    </row>
    <row r="8" spans="1:5" x14ac:dyDescent="0.25">
      <c r="A8" s="8">
        <v>75</v>
      </c>
      <c r="B8" s="25">
        <v>400.7694991610457</v>
      </c>
      <c r="C8" s="25">
        <v>0.88600225733346749</v>
      </c>
      <c r="D8" s="25">
        <v>0.78500000000000003</v>
      </c>
      <c r="E8" s="17"/>
    </row>
    <row r="9" spans="1:5" x14ac:dyDescent="0.25">
      <c r="A9" s="8">
        <v>78</v>
      </c>
      <c r="B9" s="25">
        <v>471.49352842475969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83</v>
      </c>
      <c r="B10" s="25">
        <v>554.69826873501142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652.58619851177821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767.7484688373861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18" sqref="D18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0.37013511046643494</v>
      </c>
      <c r="D2" s="25">
        <f>D3</f>
        <v>0.13700000000000001</v>
      </c>
      <c r="E2" s="17"/>
    </row>
    <row r="3" spans="1:5" x14ac:dyDescent="0.25">
      <c r="A3" s="8">
        <v>10</v>
      </c>
      <c r="B3" s="25">
        <v>100</v>
      </c>
      <c r="C3" s="25">
        <v>0.37013511046643494</v>
      </c>
      <c r="D3" s="25">
        <v>0.13700000000000001</v>
      </c>
      <c r="E3" s="17"/>
    </row>
    <row r="4" spans="1:5" x14ac:dyDescent="0.25">
      <c r="A4" s="8">
        <v>20</v>
      </c>
      <c r="B4" s="25">
        <v>200</v>
      </c>
      <c r="C4" s="25">
        <v>0.37013511046643494</v>
      </c>
      <c r="D4" s="25">
        <v>0.13700000000000001</v>
      </c>
      <c r="E4" s="17"/>
    </row>
    <row r="5" spans="1:5" x14ac:dyDescent="0.25">
      <c r="A5" s="8">
        <v>30</v>
      </c>
      <c r="B5" s="25">
        <v>300</v>
      </c>
      <c r="C5" s="25">
        <v>0.37013511046643494</v>
      </c>
      <c r="D5" s="25">
        <v>0.13700000000000001</v>
      </c>
      <c r="E5" s="17"/>
    </row>
    <row r="6" spans="1:5" x14ac:dyDescent="0.25">
      <c r="A6" s="8">
        <v>40</v>
      </c>
      <c r="B6" s="25">
        <v>400</v>
      </c>
      <c r="C6" s="25">
        <v>0.37013511046643494</v>
      </c>
      <c r="D6" s="25">
        <v>0.13700000000000001</v>
      </c>
      <c r="E6" s="17"/>
    </row>
    <row r="7" spans="1:5" x14ac:dyDescent="0.25">
      <c r="A7" s="8">
        <v>50</v>
      </c>
      <c r="B7" s="25">
        <v>600</v>
      </c>
      <c r="C7" s="25">
        <v>0.57271284253105414</v>
      </c>
      <c r="D7" s="25">
        <v>0.32800000000000001</v>
      </c>
      <c r="E7" s="17"/>
    </row>
    <row r="8" spans="1:5" x14ac:dyDescent="0.25">
      <c r="A8" s="8">
        <v>75</v>
      </c>
      <c r="B8" s="25">
        <v>980</v>
      </c>
      <c r="C8" s="25">
        <v>0.57271284253105414</v>
      </c>
      <c r="D8" s="25">
        <v>0.32800000000000001</v>
      </c>
      <c r="E8" s="17"/>
    </row>
    <row r="9" spans="1:5" x14ac:dyDescent="0.25">
      <c r="A9" s="8">
        <v>78</v>
      </c>
      <c r="B9" s="25">
        <v>1118</v>
      </c>
      <c r="C9" s="25">
        <v>0.57271284253105414</v>
      </c>
      <c r="D9" s="25">
        <v>0.32800000000000001</v>
      </c>
      <c r="E9" s="17"/>
    </row>
    <row r="10" spans="1:5" x14ac:dyDescent="0.25">
      <c r="A10" s="8">
        <v>83</v>
      </c>
      <c r="B10" s="25">
        <v>1515</v>
      </c>
      <c r="C10" s="25">
        <v>0.72456883730947197</v>
      </c>
      <c r="D10" s="25">
        <v>0.52500000000000002</v>
      </c>
      <c r="E10" s="17"/>
    </row>
    <row r="11" spans="1:5" x14ac:dyDescent="0.25">
      <c r="A11" s="8">
        <v>90</v>
      </c>
      <c r="B11" s="25">
        <v>1800</v>
      </c>
      <c r="C11" s="25">
        <v>0.54772255750516607</v>
      </c>
      <c r="D11" s="25">
        <v>0.3</v>
      </c>
      <c r="E11" s="17"/>
    </row>
    <row r="12" spans="1:5" ht="15.75" thickBot="1" x14ac:dyDescent="0.3">
      <c r="A12" s="11">
        <v>100</v>
      </c>
      <c r="B12" s="26">
        <v>2190</v>
      </c>
      <c r="C12" s="26">
        <v>0.37013511046643494</v>
      </c>
      <c r="D12" s="26">
        <v>0.13700000000000001</v>
      </c>
      <c r="E12" s="18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7" sqref="E17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191.8426310381796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233.954428095341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285.31027816505002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347.93936361591466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424.31629709257885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517.45889889338889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631.04743767486457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769.57004594495686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938.5000560304353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1144.5122634517504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K21" sqref="K21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50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100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200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300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500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700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900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1100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1323.0184453148931</v>
      </c>
      <c r="C11" s="25">
        <v>0.83066238629180744</v>
      </c>
      <c r="D11" s="25">
        <v>0.69</v>
      </c>
      <c r="E11" s="17"/>
    </row>
    <row r="12" spans="1:5" ht="15.75" thickBot="1" x14ac:dyDescent="0.3">
      <c r="A12" s="11">
        <v>100</v>
      </c>
      <c r="B12" s="26">
        <v>1338.5243484781358</v>
      </c>
      <c r="C12" s="26">
        <v>0.78102496759066542</v>
      </c>
      <c r="D12" s="26">
        <v>0.61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1" sqref="I1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0.7778174593052023</v>
      </c>
      <c r="D2" s="25">
        <f>D3</f>
        <v>0.60499999999999998</v>
      </c>
      <c r="E2" s="17"/>
    </row>
    <row r="3" spans="1:5" x14ac:dyDescent="0.25">
      <c r="A3" s="8">
        <v>10</v>
      </c>
      <c r="B3" s="9">
        <v>3.28</v>
      </c>
      <c r="C3" s="9">
        <v>0.7778174593052023</v>
      </c>
      <c r="D3" s="9">
        <v>0.60499999999999998</v>
      </c>
      <c r="E3" s="17"/>
    </row>
    <row r="4" spans="1:5" x14ac:dyDescent="0.25">
      <c r="A4" s="8">
        <v>20</v>
      </c>
      <c r="B4" s="9">
        <v>7.39</v>
      </c>
      <c r="C4" s="9">
        <v>0.78549347546621928</v>
      </c>
      <c r="D4" s="9">
        <v>0.61699999999999999</v>
      </c>
      <c r="E4" s="17"/>
    </row>
    <row r="5" spans="1:5" x14ac:dyDescent="0.25">
      <c r="A5" s="8">
        <v>30</v>
      </c>
      <c r="B5" s="9">
        <v>12</v>
      </c>
      <c r="C5" s="9">
        <v>0.80249610590955522</v>
      </c>
      <c r="D5" s="9">
        <v>0.64400000000000002</v>
      </c>
      <c r="E5" s="17"/>
    </row>
    <row r="6" spans="1:5" x14ac:dyDescent="0.25">
      <c r="A6" s="8">
        <v>40</v>
      </c>
      <c r="B6" s="9">
        <v>14.2</v>
      </c>
      <c r="C6" s="9">
        <v>0.87407093533648628</v>
      </c>
      <c r="D6" s="9">
        <v>0.76400000000000001</v>
      </c>
      <c r="E6" s="17"/>
    </row>
    <row r="7" spans="1:5" x14ac:dyDescent="0.25">
      <c r="A7" s="8">
        <v>50</v>
      </c>
      <c r="B7" s="9">
        <v>14.9</v>
      </c>
      <c r="C7" s="9">
        <v>0.88881944173155891</v>
      </c>
      <c r="D7" s="9">
        <v>0.79</v>
      </c>
      <c r="E7" s="17"/>
    </row>
    <row r="8" spans="1:5" x14ac:dyDescent="0.25">
      <c r="A8" s="8">
        <v>60</v>
      </c>
      <c r="B8" s="9">
        <v>15.3</v>
      </c>
      <c r="C8" s="9">
        <v>0.89944427287075435</v>
      </c>
      <c r="D8" s="9">
        <v>0.80900000000000005</v>
      </c>
      <c r="E8" s="17"/>
    </row>
    <row r="9" spans="1:5" x14ac:dyDescent="0.25">
      <c r="A9" s="8">
        <v>70</v>
      </c>
      <c r="B9" s="9">
        <v>15.7</v>
      </c>
      <c r="C9" s="9">
        <v>0.90166512630798801</v>
      </c>
      <c r="D9" s="9">
        <v>0.81299999999999994</v>
      </c>
      <c r="E9" s="17"/>
    </row>
    <row r="10" spans="1:5" x14ac:dyDescent="0.25">
      <c r="A10" s="8">
        <v>80</v>
      </c>
      <c r="B10" s="9">
        <v>16</v>
      </c>
      <c r="C10" s="9">
        <v>0.89162772500635046</v>
      </c>
      <c r="D10" s="9">
        <v>0.79500000000000004</v>
      </c>
      <c r="E10" s="17"/>
    </row>
    <row r="11" spans="1:5" x14ac:dyDescent="0.25">
      <c r="A11" s="8">
        <v>90</v>
      </c>
      <c r="B11" s="9">
        <v>16.399999999999999</v>
      </c>
      <c r="C11" s="9">
        <v>0.87635609200826581</v>
      </c>
      <c r="D11" s="9">
        <v>0.76800000000000002</v>
      </c>
      <c r="E11" s="17"/>
    </row>
    <row r="12" spans="1:5" ht="15.75" thickBot="1" x14ac:dyDescent="0.3">
      <c r="A12" s="11">
        <v>100</v>
      </c>
      <c r="B12" s="12">
        <v>16.8</v>
      </c>
      <c r="C12" s="12">
        <v>0.87635609200826581</v>
      </c>
      <c r="D12" s="12">
        <v>0.76800000000000002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4" sqref="J14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0.7778174593052023</v>
      </c>
      <c r="D2" s="25">
        <f>D3</f>
        <v>0.60499999999999998</v>
      </c>
      <c r="E2" s="17"/>
    </row>
    <row r="3" spans="1:5" x14ac:dyDescent="0.25">
      <c r="A3" s="8">
        <v>10</v>
      </c>
      <c r="B3" s="9">
        <v>3.28</v>
      </c>
      <c r="C3" s="25">
        <v>0.7778174593052023</v>
      </c>
      <c r="D3" s="9">
        <v>0.60499999999999998</v>
      </c>
      <c r="E3" s="17"/>
    </row>
    <row r="4" spans="1:5" x14ac:dyDescent="0.25">
      <c r="A4" s="8">
        <v>20</v>
      </c>
      <c r="B4" s="9">
        <v>7.39</v>
      </c>
      <c r="C4" s="25">
        <v>0.78549347546621928</v>
      </c>
      <c r="D4" s="9">
        <v>0.61699999999999999</v>
      </c>
      <c r="E4" s="17"/>
    </row>
    <row r="5" spans="1:5" x14ac:dyDescent="0.25">
      <c r="A5" s="8">
        <v>30</v>
      </c>
      <c r="B5" s="9">
        <v>12</v>
      </c>
      <c r="C5" s="25">
        <v>0.80249610590955522</v>
      </c>
      <c r="D5" s="9">
        <v>0.64400000000000002</v>
      </c>
      <c r="E5" s="17"/>
    </row>
    <row r="6" spans="1:5" x14ac:dyDescent="0.25">
      <c r="A6" s="8">
        <v>40</v>
      </c>
      <c r="B6" s="9">
        <v>14.2</v>
      </c>
      <c r="C6" s="25">
        <v>0.87407093533648628</v>
      </c>
      <c r="D6" s="9">
        <v>0.76400000000000001</v>
      </c>
      <c r="E6" s="17"/>
    </row>
    <row r="7" spans="1:5" x14ac:dyDescent="0.25">
      <c r="A7" s="8">
        <v>50</v>
      </c>
      <c r="B7" s="9">
        <v>14.9</v>
      </c>
      <c r="C7" s="25">
        <v>0.88881944173155891</v>
      </c>
      <c r="D7" s="9">
        <v>0.79</v>
      </c>
      <c r="E7" s="17"/>
    </row>
    <row r="8" spans="1:5" x14ac:dyDescent="0.25">
      <c r="A8" s="8">
        <v>60</v>
      </c>
      <c r="B8" s="9">
        <v>15.3</v>
      </c>
      <c r="C8" s="25">
        <v>0.89944427287075435</v>
      </c>
      <c r="D8" s="9">
        <v>0.80900000000000005</v>
      </c>
      <c r="E8" s="17"/>
    </row>
    <row r="9" spans="1:5" x14ac:dyDescent="0.25">
      <c r="A9" s="8">
        <v>70</v>
      </c>
      <c r="B9" s="9">
        <v>15.7</v>
      </c>
      <c r="C9" s="25">
        <v>0.90166512630798801</v>
      </c>
      <c r="D9" s="9">
        <v>0.81299999999999994</v>
      </c>
      <c r="E9" s="17"/>
    </row>
    <row r="10" spans="1:5" x14ac:dyDescent="0.25">
      <c r="A10" s="8">
        <v>80</v>
      </c>
      <c r="B10" s="9">
        <v>16</v>
      </c>
      <c r="C10" s="25">
        <v>0.89162772500635046</v>
      </c>
      <c r="D10" s="9">
        <v>0.79500000000000004</v>
      </c>
      <c r="E10" s="17"/>
    </row>
    <row r="11" spans="1:5" x14ac:dyDescent="0.25">
      <c r="A11" s="8">
        <v>90</v>
      </c>
      <c r="B11" s="9">
        <v>16.399999999999999</v>
      </c>
      <c r="C11" s="25">
        <v>0.87635609200826581</v>
      </c>
      <c r="D11" s="9">
        <v>0.76800000000000002</v>
      </c>
      <c r="E11" s="17"/>
    </row>
    <row r="12" spans="1:5" ht="15.75" thickBot="1" x14ac:dyDescent="0.3">
      <c r="A12" s="11">
        <v>100</v>
      </c>
      <c r="B12" s="12">
        <v>16.8</v>
      </c>
      <c r="C12" s="26">
        <v>0.87635609200826581</v>
      </c>
      <c r="D12" s="12">
        <v>0.76800000000000002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7" sqref="G1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0.88600225733346749</v>
      </c>
      <c r="D2" s="25">
        <f>D3</f>
        <v>0.78500000000000003</v>
      </c>
      <c r="E2" s="19"/>
    </row>
    <row r="3" spans="1:5" x14ac:dyDescent="0.25">
      <c r="A3" s="23">
        <v>10</v>
      </c>
      <c r="B3" s="21">
        <v>88.233180317705035</v>
      </c>
      <c r="C3" s="21">
        <v>0.88600225733346749</v>
      </c>
      <c r="D3" s="21">
        <v>0.78500000000000003</v>
      </c>
      <c r="E3" s="19"/>
    </row>
    <row r="4" spans="1:5" x14ac:dyDescent="0.25">
      <c r="A4" s="23">
        <v>25</v>
      </c>
      <c r="B4" s="21">
        <v>101.41744864104027</v>
      </c>
      <c r="C4" s="21">
        <v>0.88600225733346749</v>
      </c>
      <c r="D4" s="21">
        <v>0.78500000000000003</v>
      </c>
      <c r="E4" s="19"/>
    </row>
    <row r="5" spans="1:5" x14ac:dyDescent="0.25">
      <c r="A5" s="23">
        <v>30</v>
      </c>
      <c r="B5" s="21">
        <v>116.57178004717272</v>
      </c>
      <c r="C5" s="21">
        <v>0.88600225733346749</v>
      </c>
      <c r="D5" s="21">
        <v>0.78500000000000003</v>
      </c>
      <c r="E5" s="19"/>
    </row>
    <row r="6" spans="1:5" x14ac:dyDescent="0.25">
      <c r="A6" s="23">
        <v>40</v>
      </c>
      <c r="B6" s="21">
        <v>133.99055177835945</v>
      </c>
      <c r="C6" s="21">
        <v>0.88600225733346749</v>
      </c>
      <c r="D6" s="21">
        <v>0.78500000000000003</v>
      </c>
      <c r="E6" s="19"/>
    </row>
    <row r="7" spans="1:5" x14ac:dyDescent="0.25">
      <c r="A7" s="23">
        <v>50</v>
      </c>
      <c r="B7" s="21">
        <v>154.01212848087292</v>
      </c>
      <c r="C7" s="21">
        <v>0.88600225733346749</v>
      </c>
      <c r="D7" s="21">
        <v>0.78500000000000003</v>
      </c>
      <c r="E7" s="19"/>
    </row>
    <row r="8" spans="1:5" x14ac:dyDescent="0.25">
      <c r="A8" s="23">
        <v>60</v>
      </c>
      <c r="B8" s="21">
        <v>177.02543503548611</v>
      </c>
      <c r="C8" s="21">
        <v>0.88600225733346749</v>
      </c>
      <c r="D8" s="21">
        <v>0.78500000000000003</v>
      </c>
      <c r="E8" s="19"/>
    </row>
    <row r="9" spans="1:5" x14ac:dyDescent="0.25">
      <c r="A9" s="23">
        <v>70</v>
      </c>
      <c r="B9" s="21">
        <v>203.47751153504151</v>
      </c>
      <c r="C9" s="21">
        <v>0.88600225733346749</v>
      </c>
      <c r="D9" s="21">
        <v>0.78500000000000003</v>
      </c>
      <c r="E9" s="19"/>
    </row>
    <row r="10" spans="1:5" x14ac:dyDescent="0.25">
      <c r="A10" s="23">
        <v>80</v>
      </c>
      <c r="B10" s="21">
        <v>233.88219716671438</v>
      </c>
      <c r="C10" s="21">
        <v>0.88600225733346749</v>
      </c>
      <c r="D10" s="21">
        <v>0.78500000000000003</v>
      </c>
      <c r="E10" s="19"/>
    </row>
    <row r="11" spans="1:5" x14ac:dyDescent="0.25">
      <c r="A11" s="23">
        <v>90</v>
      </c>
      <c r="B11" s="21">
        <v>268.83011168587859</v>
      </c>
      <c r="C11" s="21">
        <v>0.88600225733346749</v>
      </c>
      <c r="D11" s="21">
        <v>0.78500000000000003</v>
      </c>
      <c r="E11" s="19"/>
    </row>
    <row r="12" spans="1:5" ht="15.75" thickBot="1" x14ac:dyDescent="0.3">
      <c r="A12" s="24">
        <v>100</v>
      </c>
      <c r="B12" s="22">
        <v>309.00012837457308</v>
      </c>
      <c r="C12" s="22">
        <v>0.88600225733346749</v>
      </c>
      <c r="D12" s="22">
        <v>0.78500000000000003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21" sqref="G21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0.88600225733346749</v>
      </c>
      <c r="D2" s="25">
        <f>D3</f>
        <v>0.78500000000000003</v>
      </c>
      <c r="E2" s="19"/>
    </row>
    <row r="3" spans="1:5" x14ac:dyDescent="0.25">
      <c r="A3" s="23">
        <v>10</v>
      </c>
      <c r="B3" s="21">
        <v>202.09531731077016</v>
      </c>
      <c r="C3" s="21">
        <v>0.88600225733346749</v>
      </c>
      <c r="D3" s="21">
        <v>0.78500000000000003</v>
      </c>
      <c r="E3" s="19"/>
    </row>
    <row r="4" spans="1:5" x14ac:dyDescent="0.25">
      <c r="A4" s="23">
        <v>25</v>
      </c>
      <c r="B4" s="21">
        <v>232.29346817329903</v>
      </c>
      <c r="C4" s="21">
        <v>0.88600225733346749</v>
      </c>
      <c r="D4" s="21">
        <v>0.78500000000000003</v>
      </c>
      <c r="E4" s="19"/>
    </row>
    <row r="5" spans="1:5" x14ac:dyDescent="0.25">
      <c r="A5" s="23">
        <v>30</v>
      </c>
      <c r="B5" s="21">
        <v>267.00398640609086</v>
      </c>
      <c r="C5" s="21">
        <v>0.88600225733346749</v>
      </c>
      <c r="D5" s="21">
        <v>0.78500000000000003</v>
      </c>
      <c r="E5" s="19"/>
    </row>
    <row r="6" spans="1:5" x14ac:dyDescent="0.25">
      <c r="A6" s="23">
        <v>40</v>
      </c>
      <c r="B6" s="21">
        <v>306.90113380010445</v>
      </c>
      <c r="C6" s="21">
        <v>0.88600225733346749</v>
      </c>
      <c r="D6" s="21">
        <v>0.78500000000000003</v>
      </c>
      <c r="E6" s="19"/>
    </row>
    <row r="7" spans="1:5" x14ac:dyDescent="0.25">
      <c r="A7" s="23">
        <v>50</v>
      </c>
      <c r="B7" s="21">
        <v>352.759923908166</v>
      </c>
      <c r="C7" s="21">
        <v>0.88600225733346749</v>
      </c>
      <c r="D7" s="21">
        <v>0.78500000000000003</v>
      </c>
      <c r="E7" s="19"/>
    </row>
    <row r="8" spans="1:5" x14ac:dyDescent="0.25">
      <c r="A8" s="23">
        <v>60</v>
      </c>
      <c r="B8" s="21">
        <v>405.47117690593791</v>
      </c>
      <c r="C8" s="21">
        <v>0.88600225733346749</v>
      </c>
      <c r="D8" s="21">
        <v>0.78500000000000003</v>
      </c>
      <c r="E8" s="19"/>
    </row>
    <row r="9" spans="1:5" x14ac:dyDescent="0.25">
      <c r="A9" s="23">
        <v>70</v>
      </c>
      <c r="B9" s="21">
        <v>466.05882402981371</v>
      </c>
      <c r="C9" s="21">
        <v>0.88600225733346749</v>
      </c>
      <c r="D9" s="21">
        <v>0.78500000000000003</v>
      </c>
      <c r="E9" s="19"/>
    </row>
    <row r="10" spans="1:5" x14ac:dyDescent="0.25">
      <c r="A10" s="23">
        <v>80</v>
      </c>
      <c r="B10" s="21">
        <v>535.69979773541809</v>
      </c>
      <c r="C10" s="21">
        <v>0.88600225733346749</v>
      </c>
      <c r="D10" s="21">
        <v>0.78500000000000003</v>
      </c>
      <c r="E10" s="19"/>
    </row>
    <row r="11" spans="1:5" x14ac:dyDescent="0.25">
      <c r="A11" s="23">
        <v>90</v>
      </c>
      <c r="B11" s="21">
        <v>615.74689394875645</v>
      </c>
      <c r="C11" s="21">
        <v>0.88600225733346749</v>
      </c>
      <c r="D11" s="21">
        <v>0.78500000000000003</v>
      </c>
      <c r="E11" s="19"/>
    </row>
    <row r="12" spans="1:5" ht="15.75" thickBot="1" x14ac:dyDescent="0.3">
      <c r="A12" s="24">
        <v>100</v>
      </c>
      <c r="B12" s="22">
        <v>707.75505051581206</v>
      </c>
      <c r="C12" s="22">
        <v>0.88600225733346749</v>
      </c>
      <c r="D12" s="22">
        <v>0.78500000000000003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8" sqref="J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153.60863189832318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180.71603752743903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240.95471670325205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321.27295560433606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428.3639408057814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571.1519210743752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761.53589476583352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1015.3811930211114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1353.8415906948151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9" sqref="H19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18.986232644492688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44.383454121572619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142.05858314674643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260.93930660910786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457.75779764190349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777.14975431228527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984.39348661726467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1115.0442453350299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1145.7583178945802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5" sqref="H15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234.8375415557019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313.11672207426921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417.48896276569224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556.65195035425631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742.20260047234171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989.60346729645562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1319.4712897286074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1759.2950529714765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2345.726737295302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0" sqref="G1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288.44974223739052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384.59965631652068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512.79954175536091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683.73272234048125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911.64362978730833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1215.5248397164112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1620.6997862885482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2160.9330483847311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2881.244064512975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20" sqref="G2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333.65701320708223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444.87601760944295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593.16802347925727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790.8906979723431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1054.5209306297909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1406.0279075063879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1874.7038766751839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2499.6051689002452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3332.8068918669933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6" sqref="I16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240.43844084045631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343.4834869149376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490.69069559276801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700.98670798966862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1001.4095828423838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1430.5851183462626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2043.6930262089468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2919.5614660127812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4170.8020943039737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26" sqref="J26:J2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574.85197006351962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766.46929341802615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1021.9590578907016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1362.6120771876022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1816.8161029168027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2422.421470555737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3229.8952940743156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4306.5270587657542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5742.0360783543383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0" sqref="J1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715.67692875486136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954.23590500648174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1272.3145400086423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1696.4193866781898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2261.8925155709198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3015.8566874278931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4021.1422499038572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5361.5229998718096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7148.6973331624131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5" sqref="J15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582.09010503357501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831.55729290510715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1187.9389898644388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1697.0556998063412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2424.3652854376305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3463.3789791966155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4947.6842559951656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7068.1203657073793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10097.3148081534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39" sqref="L39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772.22910731991828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1103.1844390284548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1575.9777700406498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2251.3968143437855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3216.2811633482652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4594.6873762118075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6563.8391088740118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9376.9130126771597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13395.590018110228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8" sqref="G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858.94114486738749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1227.0587783819822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1752.9411119742604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2504.2015885346577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3577.4308407637968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5110.6154868054246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7300.879266864893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10429.827524092705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14899.753605846723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C1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SQRT(D2)</f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 t="shared" ref="C3:C12" si="0">SQRT(D3)</f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965.52863727154875</v>
      </c>
      <c r="C4" s="21">
        <f t="shared" si="0"/>
        <v>0.7745966692414834</v>
      </c>
      <c r="D4" s="21">
        <v>0.6</v>
      </c>
      <c r="E4" s="19"/>
    </row>
    <row r="5" spans="1:5" x14ac:dyDescent="0.25">
      <c r="A5" s="23">
        <v>30</v>
      </c>
      <c r="B5" s="21">
        <v>1379.3266246736412</v>
      </c>
      <c r="C5" s="21">
        <f t="shared" si="0"/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1970.4666066766304</v>
      </c>
      <c r="C6" s="21">
        <f t="shared" si="0"/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2814.9522952523293</v>
      </c>
      <c r="C7" s="21">
        <f t="shared" si="0"/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4021.3604217890424</v>
      </c>
      <c r="C8" s="21">
        <f t="shared" si="0"/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5744.8006025557752</v>
      </c>
      <c r="C9" s="21">
        <f t="shared" si="0"/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8206.8580036511084</v>
      </c>
      <c r="C10" s="21">
        <f t="shared" si="0"/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11724.082862358726</v>
      </c>
      <c r="C11" s="21">
        <f t="shared" si="0"/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16748.689803369609</v>
      </c>
      <c r="C12" s="22">
        <f t="shared" si="0"/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C1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SQRT(D2)</f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 t="shared" ref="C3:C12" si="0">SQRT(D3)</f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1267.1728209115151</v>
      </c>
      <c r="C4" s="21">
        <f t="shared" si="0"/>
        <v>0.7745966692414834</v>
      </c>
      <c r="D4" s="21">
        <v>0.6</v>
      </c>
      <c r="E4" s="19"/>
    </row>
    <row r="5" spans="1:5" x14ac:dyDescent="0.25">
      <c r="A5" s="23">
        <v>30</v>
      </c>
      <c r="B5" s="21">
        <v>1810.2468870164503</v>
      </c>
      <c r="C5" s="21">
        <f t="shared" si="0"/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2586.066981452072</v>
      </c>
      <c r="C6" s="21">
        <f t="shared" si="0"/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3694.3814020743889</v>
      </c>
      <c r="C7" s="21">
        <f t="shared" si="0"/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5277.6877172491277</v>
      </c>
      <c r="C8" s="21">
        <f t="shared" si="0"/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7539.553881784469</v>
      </c>
      <c r="C9" s="21">
        <f t="shared" si="0"/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10770.7912596921</v>
      </c>
      <c r="C10" s="21">
        <f t="shared" si="0"/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15386.844656703001</v>
      </c>
      <c r="C11" s="21">
        <f t="shared" si="0"/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21981.206652432858</v>
      </c>
      <c r="C12" s="22">
        <f t="shared" si="0"/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tabSelected="1" workbookViewId="0">
      <selection activeCell="M20" sqref="M2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1447.4055946621702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2067.7222780888146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2953.8889686983071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4219.8413838547249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6028.3448340781788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8611.9211915402557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12302.744559343222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17575.349370490319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25107.641957843316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27</vt:i4>
      </vt:variant>
    </vt:vector>
  </HeadingPairs>
  <TitlesOfParts>
    <vt:vector size="27" baseType="lpstr">
      <vt:lpstr>Valve List</vt:lpstr>
      <vt:lpstr>Valve_2.0_600_3</vt:lpstr>
      <vt:lpstr>Valve_3.0_600_3</vt:lpstr>
      <vt:lpstr>Valve_4.0_600_3</vt:lpstr>
      <vt:lpstr>Valve_6.0_600_3</vt:lpstr>
      <vt:lpstr>Valve_8.0_600_3</vt:lpstr>
      <vt:lpstr>Valve_8.0_150_3</vt:lpstr>
      <vt:lpstr>Valve_10.0_600_3</vt:lpstr>
      <vt:lpstr>Valve_12.0_600_3</vt:lpstr>
      <vt:lpstr>Valve_16.0_600_3</vt:lpstr>
      <vt:lpstr>Valve_20.0_600_3</vt:lpstr>
      <vt:lpstr>Valve_4.0_600_4</vt:lpstr>
      <vt:lpstr>Valve_6.0_600_4</vt:lpstr>
      <vt:lpstr>Valve_8.0_600_4</vt:lpstr>
      <vt:lpstr>Valve_8.0_150_4</vt:lpstr>
      <vt:lpstr>Valve_10.0_600_4</vt:lpstr>
      <vt:lpstr>Valve_12.0_600_4</vt:lpstr>
      <vt:lpstr>Valve_14.0_600_4</vt:lpstr>
      <vt:lpstr>Valve_16.0_600_4</vt:lpstr>
      <vt:lpstr>Valve_18.0_600_4</vt:lpstr>
      <vt:lpstr>Valve_20.0_600_4</vt:lpstr>
      <vt:lpstr>Valve_24.0_600_4</vt:lpstr>
      <vt:lpstr>Valve_28.0_600_4</vt:lpstr>
      <vt:lpstr>Valve_30.0_600_4</vt:lpstr>
      <vt:lpstr>Valve_32.0_600_4</vt:lpstr>
      <vt:lpstr>Valve_36.0_600_4</vt:lpstr>
      <vt:lpstr>Valve_40.0_600_4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Gürkan Duran</cp:lastModifiedBy>
  <dcterms:created xsi:type="dcterms:W3CDTF">2025-07-08T06:07:01Z</dcterms:created>
  <dcterms:modified xsi:type="dcterms:W3CDTF">2025-11-03T10:47:40Z</dcterms:modified>
</cp:coreProperties>
</file>