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BuÇalışmaKitabı"/>
  <mc:AlternateContent xmlns:mc="http://schemas.openxmlformats.org/markup-compatibility/2006">
    <mc:Choice Requires="x15">
      <x15ac:absPath xmlns:x15ac="http://schemas.microsoft.com/office/spreadsheetml/2010/11/ac" url="C:\Users\gurkan.duran\Desktop\Projeler\Kontrol Vanasi Analizleri\"/>
    </mc:Choice>
  </mc:AlternateContent>
  <bookViews>
    <workbookView xWindow="0" yWindow="0" windowWidth="28800" windowHeight="10800" firstSheet="21" activeTab="27"/>
  </bookViews>
  <sheets>
    <sheet name="Valve List" sheetId="1" r:id="rId1"/>
    <sheet name="Valve_2.0_600_3" sheetId="2" r:id="rId2"/>
    <sheet name="Valve_3.0_600_3" sheetId="14" r:id="rId3"/>
    <sheet name="Valve_4.0_600_3" sheetId="5" r:id="rId4"/>
    <sheet name="Valve_6.0_600_3" sheetId="15" r:id="rId5"/>
    <sheet name="Valve_8.0_600_3" sheetId="16" r:id="rId6"/>
    <sheet name="Valve_8.0_150_3" sheetId="6" r:id="rId7"/>
    <sheet name="Valve_10.0_600_3" sheetId="17" r:id="rId8"/>
    <sheet name="Valve_12.0_600_3" sheetId="7" r:id="rId9"/>
    <sheet name="Valve_16.0_600_3" sheetId="8" r:id="rId10"/>
    <sheet name="Valve_20.0_600_3" sheetId="9" r:id="rId11"/>
    <sheet name="Valve_4.0_600_4" sheetId="18" r:id="rId12"/>
    <sheet name="Valve_6.0_600_4" sheetId="13" r:id="rId13"/>
    <sheet name="Valve_8.0_600_4" sheetId="11" r:id="rId14"/>
    <sheet name="Valve_8.0_600_4(Lineer)" sheetId="19" r:id="rId15"/>
    <sheet name="Valve_10.0_600_4" sheetId="20" r:id="rId16"/>
    <sheet name="Valve_12.0_600_4" sheetId="21" r:id="rId17"/>
    <sheet name="Valve_14.0_600_4" sheetId="23" r:id="rId18"/>
    <sheet name="Valve_16.0_600_4" sheetId="24" r:id="rId19"/>
    <sheet name="Valve_18.0_600_4" sheetId="25" r:id="rId20"/>
    <sheet name="Valve_20.0_600_4" sheetId="26" r:id="rId21"/>
    <sheet name="Valve_24.0_600_4" sheetId="27" r:id="rId22"/>
    <sheet name="Valve_28.0_600_4" sheetId="28" r:id="rId23"/>
    <sheet name="Valve_30.0_600_4" sheetId="29" r:id="rId24"/>
    <sheet name="Valve_32.0_600_4" sheetId="30" r:id="rId25"/>
    <sheet name="Valve_36.0_600_4" sheetId="31" r:id="rId26"/>
    <sheet name="Valve_40.0_600_4" sheetId="32" r:id="rId27"/>
    <sheet name="Valve_8.0_600_6" sheetId="34" r:id="rId28"/>
  </sheets>
  <externalReferences>
    <externalReference r:id="rId29"/>
  </externalReferences>
  <calcPr calcId="162913"/>
</workbook>
</file>

<file path=xl/calcChain.xml><?xml version="1.0" encoding="utf-8"?>
<calcChain xmlns="http://schemas.openxmlformats.org/spreadsheetml/2006/main">
  <c r="B2" i="16" l="1"/>
  <c r="C2" i="16"/>
  <c r="D2" i="16"/>
  <c r="B3" i="16"/>
  <c r="C3" i="16"/>
  <c r="D3" i="16"/>
  <c r="B4" i="16"/>
  <c r="C4" i="16"/>
  <c r="D4" i="16"/>
  <c r="B5" i="16"/>
  <c r="C5" i="16"/>
  <c r="D5" i="16"/>
  <c r="B6" i="16"/>
  <c r="C6" i="16"/>
  <c r="D6" i="16"/>
  <c r="B7" i="16"/>
  <c r="C7" i="16"/>
  <c r="D7" i="16"/>
  <c r="B8" i="16"/>
  <c r="C8" i="16"/>
  <c r="D8" i="16"/>
  <c r="B9" i="16"/>
  <c r="C9" i="16"/>
  <c r="D9" i="16"/>
  <c r="B10" i="16"/>
  <c r="C10" i="16"/>
  <c r="D10" i="16"/>
  <c r="B11" i="16"/>
  <c r="C11" i="16"/>
  <c r="D11" i="16"/>
  <c r="B12" i="16"/>
  <c r="C12" i="16"/>
  <c r="D12" i="16"/>
</calcChain>
</file>

<file path=xl/sharedStrings.xml><?xml version="1.0" encoding="utf-8"?>
<sst xmlns="http://schemas.openxmlformats.org/spreadsheetml/2006/main" count="171" uniqueCount="40">
  <si>
    <t>size</t>
  </si>
  <si>
    <t>rating_class</t>
  </si>
  <si>
    <t>valve_type</t>
  </si>
  <si>
    <t>fd</t>
  </si>
  <si>
    <t>diameter</t>
  </si>
  <si>
    <t>sheet_name</t>
  </si>
  <si>
    <t>Valve_2.0_600_3</t>
  </si>
  <si>
    <t>Valve_4.0_600_3</t>
  </si>
  <si>
    <t>Valve_8.0_600_3</t>
  </si>
  <si>
    <t>Valve_12.0_600_3</t>
  </si>
  <si>
    <t>Valve_16.0_600_3</t>
  </si>
  <si>
    <t>Valve_20.0_600_3</t>
  </si>
  <si>
    <t>Valve_8.0_600_4</t>
  </si>
  <si>
    <t>Opening (%)</t>
  </si>
  <si>
    <t>Cv</t>
  </si>
  <si>
    <t>Fl</t>
  </si>
  <si>
    <t>Xt</t>
  </si>
  <si>
    <t>ValveList</t>
  </si>
  <si>
    <t>Valve_6.0_600_4</t>
  </si>
  <si>
    <t>Valve_3.0_600_3</t>
  </si>
  <si>
    <t>Valve_6.0_600_3</t>
  </si>
  <si>
    <t>Valve_10.0_600_3</t>
  </si>
  <si>
    <t>Valve_4.0_600_4</t>
  </si>
  <si>
    <t>Valve_10.0_600_4</t>
  </si>
  <si>
    <t>Valve_12.0_600_4</t>
  </si>
  <si>
    <t>Valve_14.0_600_4</t>
  </si>
  <si>
    <t>Valve_16.0_600_4</t>
  </si>
  <si>
    <t>Valve_18.0_600_4</t>
  </si>
  <si>
    <t>Valve_20.0_600_4</t>
  </si>
  <si>
    <t>Valve_24.0_600_4</t>
  </si>
  <si>
    <t>Valve_28.0_600_4</t>
  </si>
  <si>
    <t>Valve_30.0_600_4</t>
  </si>
  <si>
    <t>Valve_32.0_600_4</t>
  </si>
  <si>
    <t>Valve_36.0_600_4</t>
  </si>
  <si>
    <t>Valve_40.0_600_4</t>
  </si>
  <si>
    <t>Valve_8.0_600_6</t>
  </si>
  <si>
    <t>note</t>
  </si>
  <si>
    <t>Valve_8.0_150_3</t>
  </si>
  <si>
    <t>Sample Problem No.2</t>
  </si>
  <si>
    <t>Linear Cage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</si>
</sst>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0.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162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1" applyAlignment="1">
      <alignment horizontal="center" vertical="center"/>
    </xf>
    <xf numFmtId="0" fontId="2" fillId="0" borderId="2" xfId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2" fillId="0" borderId="10" xfId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4" xfId="0" applyBorder="1"/>
    <xf numFmtId="0" fontId="0" fillId="0" borderId="5" xfId="0" applyBorder="1" applyAlignment="1">
      <alignment horizontal="center" vertical="center"/>
    </xf>
    <xf numFmtId="0" fontId="0" fillId="0" borderId="7" xfId="0" applyBorder="1"/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2" fillId="0" borderId="10" xfId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0" xfId="0" applyNumberFormat="1" applyBorder="1" applyAlignment="1">
      <alignment horizontal="center"/>
    </xf>
    <xf numFmtId="2" fontId="0" fillId="0" borderId="6" xfId="0" applyNumberFormat="1" applyBorder="1" applyAlignment="1">
      <alignment horizontal="center"/>
    </xf>
    <xf numFmtId="164" fontId="0" fillId="0" borderId="3" xfId="0" applyNumberFormat="1" applyBorder="1" applyAlignment="1">
      <alignment horizontal="center"/>
    </xf>
    <xf numFmtId="164" fontId="0" fillId="0" borderId="5" xfId="0" applyNumberFormat="1" applyBorder="1" applyAlignment="1">
      <alignment horizontal="center"/>
    </xf>
    <xf numFmtId="2" fontId="0" fillId="0" borderId="0" xfId="0" applyNumberFormat="1" applyBorder="1" applyAlignment="1">
      <alignment horizontal="center" vertical="center"/>
    </xf>
    <xf numFmtId="2" fontId="0" fillId="0" borderId="6" xfId="0" applyNumberFormat="1" applyBorder="1" applyAlignment="1">
      <alignment horizontal="center" vertical="center"/>
    </xf>
    <xf numFmtId="164" fontId="0" fillId="0" borderId="11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0" fontId="0" fillId="0" borderId="13" xfId="0" applyBorder="1" applyAlignment="1">
      <alignment horizontal="center"/>
    </xf>
    <xf numFmtId="165" fontId="0" fillId="0" borderId="12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 vertical="center"/>
    </xf>
    <xf numFmtId="165" fontId="0" fillId="0" borderId="0" xfId="0" applyNumberFormat="1" applyBorder="1" applyAlignment="1">
      <alignment horizontal="center"/>
    </xf>
    <xf numFmtId="165" fontId="0" fillId="0" borderId="6" xfId="0" applyNumberFormat="1" applyBorder="1" applyAlignment="1">
      <alignment horizontal="center"/>
    </xf>
    <xf numFmtId="164" fontId="0" fillId="0" borderId="0" xfId="0" applyNumberFormat="1" applyBorder="1" applyAlignment="1">
      <alignment horizontal="center" vertical="center" wrapText="1"/>
    </xf>
    <xf numFmtId="1" fontId="0" fillId="0" borderId="0" xfId="0" applyNumberFormat="1" applyBorder="1" applyAlignment="1">
      <alignment horizontal="center" vertical="center"/>
    </xf>
  </cellXfs>
  <cellStyles count="2">
    <cellStyle name="Köprü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AnalizSonuclari-x-x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E33"/>
      <sheetName val="3E33"/>
      <sheetName val="4E33"/>
      <sheetName val="6E33"/>
      <sheetName val="8E33"/>
      <sheetName val="10E33"/>
      <sheetName val="12E33"/>
      <sheetName val="16E33"/>
      <sheetName val="20E33"/>
      <sheetName val="4E43"/>
      <sheetName val="6E43"/>
      <sheetName val="8E43"/>
      <sheetName val="8E43-Linear Cage"/>
      <sheetName val="10E43"/>
      <sheetName val="12E43"/>
      <sheetName val="14E43"/>
      <sheetName val="16E43"/>
      <sheetName val="18E43"/>
      <sheetName val="20E43"/>
      <sheetName val="24E43"/>
      <sheetName val="28E43"/>
      <sheetName val="30E43"/>
      <sheetName val="32E43"/>
      <sheetName val="36E43"/>
      <sheetName val="40E43"/>
      <sheetName val="Cv Table of Axial Flow Control"/>
      <sheetName val="Axial "/>
      <sheetName val="Anti-Cavitation"/>
      <sheetName val="Ball Valve"/>
      <sheetName val="Validation"/>
    </sheetNames>
    <sheetDataSet>
      <sheetData sheetId="0">
        <row r="2">
          <cell r="B2">
            <v>0</v>
          </cell>
        </row>
      </sheetData>
      <sheetData sheetId="1">
        <row r="2">
          <cell r="B2">
            <v>0</v>
          </cell>
        </row>
      </sheetData>
      <sheetData sheetId="2">
        <row r="2">
          <cell r="B2">
            <v>0</v>
          </cell>
        </row>
      </sheetData>
      <sheetData sheetId="3">
        <row r="2">
          <cell r="B2">
            <v>0</v>
          </cell>
        </row>
      </sheetData>
      <sheetData sheetId="4">
        <row r="2">
          <cell r="B2">
            <v>0</v>
          </cell>
          <cell r="C2">
            <v>0</v>
          </cell>
          <cell r="D2">
            <v>0</v>
          </cell>
        </row>
        <row r="3">
          <cell r="B3">
            <v>134.07153965847905</v>
          </cell>
          <cell r="C3">
            <v>0.83666002653407556</v>
          </cell>
          <cell r="D3">
            <v>0.7</v>
          </cell>
        </row>
        <row r="4">
          <cell r="B4">
            <v>244.80108441609102</v>
          </cell>
          <cell r="C4">
            <v>0.83666002653407556</v>
          </cell>
          <cell r="D4">
            <v>0.7</v>
          </cell>
        </row>
        <row r="5">
          <cell r="B5">
            <v>345.46143467155173</v>
          </cell>
          <cell r="C5">
            <v>0.83666002653407556</v>
          </cell>
          <cell r="D5">
            <v>0.7</v>
          </cell>
        </row>
        <row r="6">
          <cell r="B6">
            <v>484.83951052041743</v>
          </cell>
          <cell r="C6">
            <v>0.83666002653407556</v>
          </cell>
          <cell r="D6">
            <v>0.7</v>
          </cell>
        </row>
        <row r="7">
          <cell r="B7">
            <v>565.79725611008917</v>
          </cell>
          <cell r="C7">
            <v>0.83666002653407556</v>
          </cell>
          <cell r="D7">
            <v>0.7</v>
          </cell>
        </row>
        <row r="8">
          <cell r="B8">
            <v>610.04720071007557</v>
          </cell>
          <cell r="C8">
            <v>0.89442719099991586</v>
          </cell>
          <cell r="D8">
            <v>0.8</v>
          </cell>
        </row>
        <row r="9">
          <cell r="B9">
            <v>661.54393511596822</v>
          </cell>
          <cell r="C9">
            <v>0.83666002653407556</v>
          </cell>
          <cell r="D9">
            <v>0.7</v>
          </cell>
        </row>
        <row r="10">
          <cell r="B10">
            <v>694.25307116472982</v>
          </cell>
          <cell r="C10">
            <v>0.83666002653407556</v>
          </cell>
          <cell r="D10">
            <v>0.7</v>
          </cell>
        </row>
        <row r="11">
          <cell r="B11">
            <v>712.53841797052826</v>
          </cell>
          <cell r="C11">
            <v>0.83666002653407556</v>
          </cell>
          <cell r="D11">
            <v>0.7</v>
          </cell>
        </row>
        <row r="12">
          <cell r="B12">
            <v>726.98152688725099</v>
          </cell>
          <cell r="C12">
            <v>0.83666002653407556</v>
          </cell>
          <cell r="D12">
            <v>0.7</v>
          </cell>
        </row>
      </sheetData>
      <sheetData sheetId="5">
        <row r="2">
          <cell r="B2">
            <v>0</v>
          </cell>
        </row>
      </sheetData>
      <sheetData sheetId="6">
        <row r="2">
          <cell r="B2">
            <v>0</v>
          </cell>
        </row>
      </sheetData>
      <sheetData sheetId="7">
        <row r="2">
          <cell r="B2">
            <v>0</v>
          </cell>
        </row>
      </sheetData>
      <sheetData sheetId="8">
        <row r="2">
          <cell r="B2">
            <v>0</v>
          </cell>
        </row>
      </sheetData>
      <sheetData sheetId="9">
        <row r="2">
          <cell r="B2">
            <v>0</v>
          </cell>
        </row>
      </sheetData>
      <sheetData sheetId="10">
        <row r="2">
          <cell r="B2">
            <v>0</v>
          </cell>
        </row>
      </sheetData>
      <sheetData sheetId="11">
        <row r="2">
          <cell r="B2">
            <v>0</v>
          </cell>
        </row>
      </sheetData>
      <sheetData sheetId="12">
        <row r="2">
          <cell r="B2">
            <v>0</v>
          </cell>
        </row>
      </sheetData>
      <sheetData sheetId="13">
        <row r="2">
          <cell r="B2">
            <v>0</v>
          </cell>
        </row>
      </sheetData>
      <sheetData sheetId="14">
        <row r="2">
          <cell r="B2">
            <v>0</v>
          </cell>
        </row>
      </sheetData>
      <sheetData sheetId="15">
        <row r="2">
          <cell r="B2">
            <v>0</v>
          </cell>
        </row>
      </sheetData>
      <sheetData sheetId="16">
        <row r="2">
          <cell r="B2">
            <v>0</v>
          </cell>
        </row>
      </sheetData>
      <sheetData sheetId="17">
        <row r="2">
          <cell r="B2">
            <v>0</v>
          </cell>
        </row>
      </sheetData>
      <sheetData sheetId="18">
        <row r="2">
          <cell r="B2">
            <v>0</v>
          </cell>
        </row>
      </sheetData>
      <sheetData sheetId="19">
        <row r="2">
          <cell r="B2">
            <v>0</v>
          </cell>
        </row>
      </sheetData>
      <sheetData sheetId="20">
        <row r="2">
          <cell r="B2">
            <v>0</v>
          </cell>
        </row>
      </sheetData>
      <sheetData sheetId="21">
        <row r="2">
          <cell r="B2">
            <v>0</v>
          </cell>
        </row>
      </sheetData>
      <sheetData sheetId="22">
        <row r="2">
          <cell r="B2">
            <v>0</v>
          </cell>
        </row>
      </sheetData>
      <sheetData sheetId="23">
        <row r="2">
          <cell r="B2">
            <v>0</v>
          </cell>
        </row>
      </sheetData>
      <sheetData sheetId="24">
        <row r="2">
          <cell r="B2">
            <v>0</v>
          </cell>
        </row>
      </sheetData>
      <sheetData sheetId="25"/>
      <sheetData sheetId="26"/>
      <sheetData sheetId="27"/>
      <sheetData sheetId="28">
        <row r="8">
          <cell r="B8">
            <v>2100.9039477964861</v>
          </cell>
        </row>
      </sheetData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/>
  <dimension ref="A1:H28"/>
  <sheetViews>
    <sheetView workbookViewId="0">
      <selection activeCell="K20" sqref="K20"/>
    </sheetView>
  </sheetViews>
  <sheetFormatPr defaultRowHeight="15" x14ac:dyDescent="0.25"/>
  <cols>
    <col min="1" max="1" width="9.140625" style="2"/>
    <col min="2" max="2" width="20.85546875" style="2" customWidth="1"/>
    <col min="3" max="5" width="9.140625" style="2"/>
    <col min="6" max="6" width="20.28515625" style="2" customWidth="1"/>
    <col min="7" max="7" width="27.42578125" style="2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36</v>
      </c>
      <c r="G1" s="1" t="s">
        <v>5</v>
      </c>
      <c r="H1" s="4"/>
    </row>
    <row r="2" spans="1:8" x14ac:dyDescent="0.25">
      <c r="A2" s="2">
        <v>2</v>
      </c>
      <c r="B2" s="2">
        <v>600</v>
      </c>
      <c r="C2" s="2">
        <v>3</v>
      </c>
      <c r="D2" s="2">
        <v>1</v>
      </c>
      <c r="E2" s="2">
        <v>2</v>
      </c>
      <c r="G2" s="3" t="s">
        <v>6</v>
      </c>
    </row>
    <row r="3" spans="1:8" x14ac:dyDescent="0.25">
      <c r="A3" s="2">
        <v>3</v>
      </c>
      <c r="B3" s="2">
        <v>600</v>
      </c>
      <c r="C3" s="2">
        <v>3</v>
      </c>
      <c r="D3" s="2">
        <v>1</v>
      </c>
      <c r="E3" s="2">
        <v>3</v>
      </c>
      <c r="G3" s="3" t="s">
        <v>19</v>
      </c>
    </row>
    <row r="4" spans="1:8" x14ac:dyDescent="0.25">
      <c r="A4" s="2">
        <v>4</v>
      </c>
      <c r="B4" s="2">
        <v>600</v>
      </c>
      <c r="C4" s="2">
        <v>3</v>
      </c>
      <c r="D4" s="2">
        <v>1</v>
      </c>
      <c r="E4" s="2">
        <v>4</v>
      </c>
      <c r="G4" s="3" t="s">
        <v>7</v>
      </c>
    </row>
    <row r="5" spans="1:8" x14ac:dyDescent="0.25">
      <c r="A5" s="2">
        <v>6</v>
      </c>
      <c r="B5" s="2">
        <v>600</v>
      </c>
      <c r="C5" s="2">
        <v>3</v>
      </c>
      <c r="D5" s="2">
        <v>1</v>
      </c>
      <c r="E5" s="2">
        <v>6</v>
      </c>
      <c r="G5" s="3" t="s">
        <v>20</v>
      </c>
    </row>
    <row r="6" spans="1:8" x14ac:dyDescent="0.25">
      <c r="A6" s="2">
        <v>8</v>
      </c>
      <c r="B6" s="2">
        <v>600</v>
      </c>
      <c r="C6" s="2">
        <v>3</v>
      </c>
      <c r="D6" s="2">
        <v>1</v>
      </c>
      <c r="E6" s="2">
        <v>8</v>
      </c>
      <c r="G6" s="3" t="s">
        <v>8</v>
      </c>
    </row>
    <row r="7" spans="1:8" x14ac:dyDescent="0.25">
      <c r="A7" s="2">
        <v>8</v>
      </c>
      <c r="B7" s="2">
        <v>600</v>
      </c>
      <c r="C7" s="2">
        <v>3</v>
      </c>
      <c r="D7" s="2">
        <v>1</v>
      </c>
      <c r="E7" s="2">
        <v>8</v>
      </c>
      <c r="F7" s="2" t="s">
        <v>38</v>
      </c>
      <c r="G7" s="3" t="s">
        <v>37</v>
      </c>
    </row>
    <row r="8" spans="1:8" x14ac:dyDescent="0.25">
      <c r="A8" s="2">
        <v>10</v>
      </c>
      <c r="B8" s="2">
        <v>600</v>
      </c>
      <c r="C8" s="2">
        <v>3</v>
      </c>
      <c r="D8" s="2">
        <v>1</v>
      </c>
      <c r="E8" s="2">
        <v>10</v>
      </c>
      <c r="G8" s="3" t="s">
        <v>21</v>
      </c>
    </row>
    <row r="9" spans="1:8" x14ac:dyDescent="0.25">
      <c r="A9" s="2">
        <v>12</v>
      </c>
      <c r="B9" s="2">
        <v>600</v>
      </c>
      <c r="C9" s="2">
        <v>3</v>
      </c>
      <c r="D9" s="2">
        <v>1</v>
      </c>
      <c r="E9" s="2">
        <v>12</v>
      </c>
      <c r="G9" s="3" t="s">
        <v>9</v>
      </c>
    </row>
    <row r="10" spans="1:8" x14ac:dyDescent="0.25">
      <c r="A10" s="2">
        <v>16</v>
      </c>
      <c r="B10" s="2">
        <v>600</v>
      </c>
      <c r="C10" s="2">
        <v>3</v>
      </c>
      <c r="D10" s="2">
        <v>1</v>
      </c>
      <c r="E10" s="2">
        <v>16</v>
      </c>
      <c r="G10" s="3" t="s">
        <v>10</v>
      </c>
    </row>
    <row r="11" spans="1:8" x14ac:dyDescent="0.25">
      <c r="A11" s="2">
        <v>20</v>
      </c>
      <c r="B11" s="2">
        <v>600</v>
      </c>
      <c r="C11" s="2">
        <v>3</v>
      </c>
      <c r="D11" s="2">
        <v>1</v>
      </c>
      <c r="E11" s="2">
        <v>20</v>
      </c>
      <c r="G11" s="3" t="s">
        <v>11</v>
      </c>
    </row>
    <row r="12" spans="1:8" x14ac:dyDescent="0.25">
      <c r="A12" s="2">
        <v>4</v>
      </c>
      <c r="B12" s="2">
        <v>600</v>
      </c>
      <c r="C12" s="2">
        <v>4</v>
      </c>
      <c r="D12" s="2">
        <v>1</v>
      </c>
      <c r="E12" s="2">
        <v>4</v>
      </c>
      <c r="G12" s="3" t="s">
        <v>22</v>
      </c>
    </row>
    <row r="13" spans="1:8" x14ac:dyDescent="0.25">
      <c r="A13" s="2">
        <v>6</v>
      </c>
      <c r="B13" s="2">
        <v>600</v>
      </c>
      <c r="C13" s="2">
        <v>4</v>
      </c>
      <c r="D13" s="2">
        <v>1</v>
      </c>
      <c r="E13" s="2">
        <v>6</v>
      </c>
      <c r="G13" s="3" t="s">
        <v>18</v>
      </c>
    </row>
    <row r="14" spans="1:8" x14ac:dyDescent="0.25">
      <c r="A14" s="2">
        <v>8</v>
      </c>
      <c r="B14" s="2">
        <v>600</v>
      </c>
      <c r="C14" s="2">
        <v>4</v>
      </c>
      <c r="D14" s="2">
        <v>1</v>
      </c>
      <c r="E14" s="2">
        <v>8</v>
      </c>
      <c r="G14" s="3" t="s">
        <v>12</v>
      </c>
    </row>
    <row r="15" spans="1:8" x14ac:dyDescent="0.25">
      <c r="A15" s="2">
        <v>8</v>
      </c>
      <c r="B15" s="2">
        <v>600</v>
      </c>
      <c r="C15" s="2">
        <v>4</v>
      </c>
      <c r="D15" s="2">
        <v>1</v>
      </c>
      <c r="E15" s="2">
        <v>8</v>
      </c>
      <c r="F15" s="2" t="s">
        <v>39</v>
      </c>
      <c r="G15" s="3" t="s">
        <v>12</v>
      </c>
    </row>
    <row r="16" spans="1:8" x14ac:dyDescent="0.25">
      <c r="A16" s="2">
        <v>10</v>
      </c>
      <c r="B16" s="2">
        <v>600</v>
      </c>
      <c r="C16" s="2">
        <v>4</v>
      </c>
      <c r="D16" s="2">
        <v>1</v>
      </c>
      <c r="E16" s="2">
        <v>10</v>
      </c>
      <c r="G16" s="3" t="s">
        <v>23</v>
      </c>
    </row>
    <row r="17" spans="1:7" x14ac:dyDescent="0.25">
      <c r="A17" s="2">
        <v>12</v>
      </c>
      <c r="B17" s="2">
        <v>600</v>
      </c>
      <c r="C17" s="2">
        <v>4</v>
      </c>
      <c r="D17" s="2">
        <v>1</v>
      </c>
      <c r="E17" s="2">
        <v>12</v>
      </c>
      <c r="G17" s="3" t="s">
        <v>24</v>
      </c>
    </row>
    <row r="18" spans="1:7" x14ac:dyDescent="0.25">
      <c r="A18" s="2">
        <v>14</v>
      </c>
      <c r="B18" s="2">
        <v>600</v>
      </c>
      <c r="C18" s="2">
        <v>4</v>
      </c>
      <c r="D18" s="2">
        <v>1</v>
      </c>
      <c r="E18" s="2">
        <v>14</v>
      </c>
      <c r="G18" s="3" t="s">
        <v>25</v>
      </c>
    </row>
    <row r="19" spans="1:7" x14ac:dyDescent="0.25">
      <c r="A19" s="2">
        <v>16</v>
      </c>
      <c r="B19" s="2">
        <v>600</v>
      </c>
      <c r="C19" s="2">
        <v>4</v>
      </c>
      <c r="D19" s="2">
        <v>1</v>
      </c>
      <c r="E19" s="2">
        <v>16</v>
      </c>
      <c r="G19" s="3" t="s">
        <v>26</v>
      </c>
    </row>
    <row r="20" spans="1:7" x14ac:dyDescent="0.25">
      <c r="A20" s="2">
        <v>18</v>
      </c>
      <c r="B20" s="2">
        <v>600</v>
      </c>
      <c r="C20" s="2">
        <v>4</v>
      </c>
      <c r="D20" s="2">
        <v>1</v>
      </c>
      <c r="E20" s="2">
        <v>18</v>
      </c>
      <c r="G20" s="3" t="s">
        <v>27</v>
      </c>
    </row>
    <row r="21" spans="1:7" x14ac:dyDescent="0.25">
      <c r="A21" s="2">
        <v>20</v>
      </c>
      <c r="B21" s="2">
        <v>600</v>
      </c>
      <c r="C21" s="2">
        <v>4</v>
      </c>
      <c r="D21" s="2">
        <v>1</v>
      </c>
      <c r="E21" s="2">
        <v>20</v>
      </c>
      <c r="G21" s="3" t="s">
        <v>28</v>
      </c>
    </row>
    <row r="22" spans="1:7" x14ac:dyDescent="0.25">
      <c r="A22" s="2">
        <v>24</v>
      </c>
      <c r="B22" s="2">
        <v>600</v>
      </c>
      <c r="C22" s="2">
        <v>4</v>
      </c>
      <c r="D22" s="2">
        <v>1</v>
      </c>
      <c r="E22" s="2">
        <v>24</v>
      </c>
      <c r="G22" s="3" t="s">
        <v>29</v>
      </c>
    </row>
    <row r="23" spans="1:7" x14ac:dyDescent="0.25">
      <c r="A23" s="2">
        <v>28</v>
      </c>
      <c r="B23" s="2">
        <v>600</v>
      </c>
      <c r="C23" s="2">
        <v>4</v>
      </c>
      <c r="D23" s="2">
        <v>1</v>
      </c>
      <c r="E23" s="2">
        <v>28</v>
      </c>
      <c r="G23" s="3" t="s">
        <v>30</v>
      </c>
    </row>
    <row r="24" spans="1:7" x14ac:dyDescent="0.25">
      <c r="A24" s="2">
        <v>30</v>
      </c>
      <c r="B24" s="2">
        <v>600</v>
      </c>
      <c r="C24" s="2">
        <v>4</v>
      </c>
      <c r="D24" s="2">
        <v>1</v>
      </c>
      <c r="E24" s="2">
        <v>30</v>
      </c>
      <c r="G24" s="3" t="s">
        <v>31</v>
      </c>
    </row>
    <row r="25" spans="1:7" x14ac:dyDescent="0.25">
      <c r="A25" s="2">
        <v>32</v>
      </c>
      <c r="B25" s="2">
        <v>600</v>
      </c>
      <c r="C25" s="2">
        <v>4</v>
      </c>
      <c r="D25" s="2">
        <v>1</v>
      </c>
      <c r="E25" s="2">
        <v>32</v>
      </c>
      <c r="G25" s="3" t="s">
        <v>32</v>
      </c>
    </row>
    <row r="26" spans="1:7" x14ac:dyDescent="0.25">
      <c r="A26" s="2">
        <v>36</v>
      </c>
      <c r="B26" s="2">
        <v>600</v>
      </c>
      <c r="C26" s="2">
        <v>4</v>
      </c>
      <c r="D26" s="2">
        <v>1</v>
      </c>
      <c r="E26" s="2">
        <v>36</v>
      </c>
      <c r="G26" s="3" t="s">
        <v>33</v>
      </c>
    </row>
    <row r="27" spans="1:7" x14ac:dyDescent="0.25">
      <c r="A27" s="2">
        <v>40</v>
      </c>
      <c r="B27" s="2">
        <v>600</v>
      </c>
      <c r="C27" s="2">
        <v>4</v>
      </c>
      <c r="D27" s="2">
        <v>1</v>
      </c>
      <c r="E27" s="2">
        <v>40</v>
      </c>
      <c r="G27" s="3" t="s">
        <v>34</v>
      </c>
    </row>
    <row r="28" spans="1:7" x14ac:dyDescent="0.25">
      <c r="A28" s="2">
        <v>8</v>
      </c>
      <c r="B28" s="2">
        <v>600</v>
      </c>
      <c r="C28" s="2">
        <v>6</v>
      </c>
      <c r="D28" s="2">
        <v>1</v>
      </c>
      <c r="E28" s="2">
        <v>8</v>
      </c>
      <c r="G28" s="3" t="s">
        <v>35</v>
      </c>
    </row>
  </sheetData>
  <hyperlinks>
    <hyperlink ref="G4" location="Valve_4.0_600_3!A1" display="Valve_4.0_600_3"/>
    <hyperlink ref="G7" location="Valve_8.0_150_3!A1" display="Valve_8.0_150_3"/>
    <hyperlink ref="G9" location="Valve_12.0_600_3!A1" display="Valve_12.0_600_3"/>
    <hyperlink ref="G10" location="Valve_16.0_600_3!A1" display="Valve_16.0_600_3"/>
    <hyperlink ref="G11" location="Valve_20.0_600_3!A1" display="Valve_20.0_600_3"/>
    <hyperlink ref="G14" location="Valve_8.0_600_4!A1" display="Valve_8.0_600_4"/>
    <hyperlink ref="G13" location="Valve_6.0_600_4!A1" display="Valve_6.0_600_4"/>
    <hyperlink ref="G3" location="Valve_3.0_600_3!A1" display="Valve_3.0_600_3"/>
    <hyperlink ref="G5" location="Valve_6.0_600_3!A1" display="Valve_6.0_600_3"/>
    <hyperlink ref="G6" location="Valve_8.0_600_3!A1" display="Valve_8.0_600_3"/>
    <hyperlink ref="G8" location="Valve_10.0_600_3!A1" display="Valve_10.0_600_3"/>
    <hyperlink ref="G12" location="Valve_4.0_600_4!A1" display="Valve_4.0_600_4"/>
    <hyperlink ref="G15" location="'Valve_8.0_600_4(Lineer)'!A1" display="Valve_8.0_600_4"/>
    <hyperlink ref="G16" location="Valve_10.0_600_4!A1" display="Valve_10.0_600_4"/>
    <hyperlink ref="G17" location="Valve_12.0_600_4!A1" display="Valve_12.0_600_4"/>
    <hyperlink ref="G18" location="Valve_14.0_600_4!A1" display="Valve_14.0_600_4"/>
    <hyperlink ref="G19" location="Valve_16.0_600_4!A1" display="Valve_16.0_600_4"/>
    <hyperlink ref="G20" location="Valve_18.0_600_4!A1" display="Valve_18.0_600_4"/>
    <hyperlink ref="G21" location="Valve_20.0_600_4!A1" display="Valve_20.0_600_4"/>
    <hyperlink ref="G23" location="Valve_28.0_600_4!A1" display="Valve_28.0_600_4"/>
    <hyperlink ref="G24" location="Valve_30.0_600_4!A1" display="Valve_30.0_600_4"/>
    <hyperlink ref="G25" location="Valve_32.0_600_4!A1" display="Valve_32.0_600_4"/>
    <hyperlink ref="G26" location="Valve_36.0_600_4!A1" display="Valve_36.0_600_4"/>
    <hyperlink ref="G27" location="Valve_40.0_600_4!A1" display="Valve_40.0_600_4"/>
    <hyperlink ref="G22" location="Valve_24.0_600_4!A1" display="Valve_24.0_600_4"/>
    <hyperlink ref="G28" location="Valve_8.0_600_6!A1" display="Valve_8.0_600_6!A1"/>
    <hyperlink ref="G2" location="Valve_2.0_600_3!A1" display="Valve_2.0_600_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4"/>
  <dimension ref="A1:E12"/>
  <sheetViews>
    <sheetView workbookViewId="0">
      <selection activeCell="I8" sqref="I8"/>
    </sheetView>
  </sheetViews>
  <sheetFormatPr defaultRowHeight="15" x14ac:dyDescent="0.25"/>
  <cols>
    <col min="1" max="4" width="15.7109375" style="2" customWidth="1"/>
    <col min="5" max="5" width="15.7109375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34">
        <v>0</v>
      </c>
      <c r="C2" s="24">
        <v>0</v>
      </c>
      <c r="D2" s="24">
        <v>0</v>
      </c>
      <c r="E2" s="10"/>
    </row>
    <row r="3" spans="1:5" x14ac:dyDescent="0.25">
      <c r="A3" s="8">
        <v>10</v>
      </c>
      <c r="B3" s="24">
        <v>13.31202233912504</v>
      </c>
      <c r="C3" s="24">
        <v>0.73484692283495345</v>
      </c>
      <c r="D3" s="24">
        <v>0.54</v>
      </c>
      <c r="E3" s="10"/>
    </row>
    <row r="4" spans="1:5" x14ac:dyDescent="0.25">
      <c r="A4" s="8">
        <v>20</v>
      </c>
      <c r="B4" s="24">
        <v>32.692258744082537</v>
      </c>
      <c r="C4" s="24">
        <v>0.78862855641930696</v>
      </c>
      <c r="D4" s="24">
        <v>0.62193500000000002</v>
      </c>
      <c r="E4" s="10"/>
    </row>
    <row r="5" spans="1:5" x14ac:dyDescent="0.25">
      <c r="A5" s="8">
        <v>30</v>
      </c>
      <c r="B5" s="24">
        <v>35.413745781315342</v>
      </c>
      <c r="C5" s="24">
        <v>0.84852813742385702</v>
      </c>
      <c r="D5" s="24">
        <v>0.72</v>
      </c>
      <c r="E5" s="10"/>
    </row>
    <row r="6" spans="1:5" x14ac:dyDescent="0.25">
      <c r="A6" s="8">
        <v>40</v>
      </c>
      <c r="B6" s="24">
        <v>38.501103306692336</v>
      </c>
      <c r="C6" s="24">
        <v>0.78630464833930624</v>
      </c>
      <c r="D6" s="24">
        <v>0.61827500000000002</v>
      </c>
      <c r="E6" s="10"/>
    </row>
    <row r="7" spans="1:5" x14ac:dyDescent="0.25">
      <c r="A7" s="8">
        <v>50</v>
      </c>
      <c r="B7" s="24">
        <v>42.219536425906092</v>
      </c>
      <c r="C7" s="24">
        <v>0.87177978870813466</v>
      </c>
      <c r="D7" s="24">
        <v>0.76</v>
      </c>
      <c r="E7" s="10"/>
    </row>
    <row r="8" spans="1:5" x14ac:dyDescent="0.25">
      <c r="A8" s="8">
        <v>60</v>
      </c>
      <c r="B8" s="24">
        <v>43.230829971221965</v>
      </c>
      <c r="C8" s="24">
        <v>0.85307854269111705</v>
      </c>
      <c r="D8" s="24">
        <v>0.72774300000000003</v>
      </c>
      <c r="E8" s="10"/>
    </row>
    <row r="9" spans="1:5" x14ac:dyDescent="0.25">
      <c r="A9" s="8">
        <v>70</v>
      </c>
      <c r="B9" s="24">
        <v>44.654446769820602</v>
      </c>
      <c r="C9" s="24">
        <v>0.84023806150400016</v>
      </c>
      <c r="D9" s="24">
        <v>0.70599999999999996</v>
      </c>
      <c r="E9" s="10"/>
    </row>
    <row r="10" spans="1:5" x14ac:dyDescent="0.25">
      <c r="A10" s="8">
        <v>80</v>
      </c>
      <c r="B10" s="24">
        <v>44.719984309519162</v>
      </c>
      <c r="C10" s="24">
        <v>0.84852813742385702</v>
      </c>
      <c r="D10" s="24">
        <v>0.72</v>
      </c>
      <c r="E10" s="10"/>
    </row>
    <row r="11" spans="1:5" x14ac:dyDescent="0.25">
      <c r="A11" s="8">
        <v>90</v>
      </c>
      <c r="B11" s="24">
        <v>46.670236841657392</v>
      </c>
      <c r="C11" s="24">
        <v>0.76239275442517163</v>
      </c>
      <c r="D11" s="24">
        <v>0.58124271199999999</v>
      </c>
      <c r="E11" s="10"/>
    </row>
    <row r="12" spans="1:5" ht="15.75" thickBot="1" x14ac:dyDescent="0.3">
      <c r="A12" s="11">
        <v>100</v>
      </c>
      <c r="B12" s="25">
        <v>48.040070456780072</v>
      </c>
      <c r="C12" s="25">
        <v>0.78154839005655941</v>
      </c>
      <c r="D12" s="25">
        <v>0.61081788599999998</v>
      </c>
      <c r="E12" s="12"/>
    </row>
  </sheetData>
  <hyperlinks>
    <hyperlink ref="E1" location="'Valve List'!A1" display="ValveList"/>
  </hyperlink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5"/>
  <dimension ref="A1:E12"/>
  <sheetViews>
    <sheetView workbookViewId="0">
      <selection activeCell="H16" sqref="H16"/>
    </sheetView>
  </sheetViews>
  <sheetFormatPr defaultRowHeight="15" x14ac:dyDescent="0.25"/>
  <cols>
    <col min="1" max="4" width="15.7109375" style="2" customWidth="1"/>
    <col min="5" max="5" width="15.7109375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9">
        <v>0</v>
      </c>
      <c r="C2" s="24">
        <v>0</v>
      </c>
      <c r="D2" s="24">
        <v>0</v>
      </c>
      <c r="E2" s="10"/>
    </row>
    <row r="3" spans="1:5" x14ac:dyDescent="0.25">
      <c r="A3" s="8">
        <v>10</v>
      </c>
      <c r="B3" s="24">
        <v>25.834609781411618</v>
      </c>
      <c r="C3" s="24">
        <v>0.6856712040037849</v>
      </c>
      <c r="D3" s="24">
        <v>0.47014499999999998</v>
      </c>
      <c r="E3" s="10"/>
    </row>
    <row r="4" spans="1:5" x14ac:dyDescent="0.25">
      <c r="A4" s="8">
        <v>20</v>
      </c>
      <c r="B4" s="24">
        <v>54.036762110061503</v>
      </c>
      <c r="C4" s="24">
        <v>0.71680541292599065</v>
      </c>
      <c r="D4" s="24">
        <v>0.51380999999999999</v>
      </c>
      <c r="E4" s="10"/>
    </row>
    <row r="5" spans="1:5" x14ac:dyDescent="0.25">
      <c r="A5" s="8">
        <v>30</v>
      </c>
      <c r="B5" s="24">
        <v>78.395278504311761</v>
      </c>
      <c r="C5" s="24">
        <v>0.72061779051033703</v>
      </c>
      <c r="D5" s="24">
        <v>0.51929000000000003</v>
      </c>
      <c r="E5" s="10"/>
    </row>
    <row r="6" spans="1:5" x14ac:dyDescent="0.25">
      <c r="A6" s="8">
        <v>40</v>
      </c>
      <c r="B6" s="24">
        <v>88.750613754988365</v>
      </c>
      <c r="C6" s="24">
        <v>0.81914589665089577</v>
      </c>
      <c r="D6" s="24">
        <v>0.67100000000000004</v>
      </c>
      <c r="E6" s="10"/>
    </row>
    <row r="7" spans="1:5" x14ac:dyDescent="0.25">
      <c r="A7" s="8">
        <v>50</v>
      </c>
      <c r="B7" s="24">
        <v>101.92466999766525</v>
      </c>
      <c r="C7" s="24">
        <v>0.70639932049797438</v>
      </c>
      <c r="D7" s="24">
        <v>0.499</v>
      </c>
      <c r="E7" s="10"/>
    </row>
    <row r="8" spans="1:5" x14ac:dyDescent="0.25">
      <c r="A8" s="8">
        <v>60</v>
      </c>
      <c r="B8" s="24">
        <v>106.35530758518409</v>
      </c>
      <c r="C8" s="24">
        <v>0.71133676975114957</v>
      </c>
      <c r="D8" s="24">
        <v>0.50600000000000001</v>
      </c>
      <c r="E8" s="10"/>
    </row>
    <row r="9" spans="1:5" x14ac:dyDescent="0.25">
      <c r="A9" s="8">
        <v>70</v>
      </c>
      <c r="B9" s="24">
        <v>112.12510661766076</v>
      </c>
      <c r="C9" s="24">
        <v>0.75498344352707492</v>
      </c>
      <c r="D9" s="24">
        <v>0.56999999999999995</v>
      </c>
      <c r="E9" s="10"/>
    </row>
    <row r="10" spans="1:5" x14ac:dyDescent="0.25">
      <c r="A10" s="8">
        <v>80</v>
      </c>
      <c r="B10" s="24">
        <v>115.27186238838969</v>
      </c>
      <c r="C10" s="24">
        <v>0.84852813742385702</v>
      </c>
      <c r="D10" s="24">
        <v>0.72</v>
      </c>
      <c r="E10" s="10"/>
    </row>
    <row r="11" spans="1:5" x14ac:dyDescent="0.25">
      <c r="A11" s="8">
        <v>90</v>
      </c>
      <c r="B11" s="24">
        <v>118.27873881536328</v>
      </c>
      <c r="C11" s="24">
        <v>0.8613942186943212</v>
      </c>
      <c r="D11" s="24">
        <v>0.74199999999999999</v>
      </c>
      <c r="E11" s="10"/>
    </row>
    <row r="12" spans="1:5" ht="15.75" thickBot="1" x14ac:dyDescent="0.3">
      <c r="A12" s="11">
        <v>100</v>
      </c>
      <c r="B12" s="25">
        <v>123.1404464818682</v>
      </c>
      <c r="C12" s="25">
        <v>0.88147603484156056</v>
      </c>
      <c r="D12" s="25">
        <v>0.77700000000000002</v>
      </c>
      <c r="E12" s="12"/>
    </row>
  </sheetData>
  <hyperlinks>
    <hyperlink ref="E1" location="'Valve List'!A1" display="ValveList"/>
  </hyperlinks>
  <pageMargins left="0.75" right="0.75" top="1" bottom="1" header="0.5" footer="0.5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6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v>0</v>
      </c>
      <c r="C2" s="24">
        <v>0</v>
      </c>
      <c r="D2" s="24">
        <v>0</v>
      </c>
      <c r="E2" s="16"/>
    </row>
    <row r="3" spans="1:5" x14ac:dyDescent="0.25">
      <c r="A3" s="8">
        <v>10</v>
      </c>
      <c r="B3" s="24">
        <v>38.043017182577891</v>
      </c>
      <c r="C3" s="24">
        <v>0.73438886157130678</v>
      </c>
      <c r="D3" s="24">
        <v>0.539327</v>
      </c>
      <c r="E3" s="16"/>
    </row>
    <row r="4" spans="1:5" x14ac:dyDescent="0.25">
      <c r="A4" s="8">
        <v>20</v>
      </c>
      <c r="B4" s="24">
        <v>80.246766739175129</v>
      </c>
      <c r="C4" s="24">
        <v>0.76760927560836567</v>
      </c>
      <c r="D4" s="24">
        <v>0.58922399999999997</v>
      </c>
      <c r="E4" s="16"/>
    </row>
    <row r="5" spans="1:5" x14ac:dyDescent="0.25">
      <c r="A5" s="8">
        <v>30</v>
      </c>
      <c r="B5" s="24">
        <v>118.19476772685371</v>
      </c>
      <c r="C5" s="24">
        <v>0.83666002653407556</v>
      </c>
      <c r="D5" s="24">
        <v>0.7</v>
      </c>
      <c r="E5" s="16"/>
    </row>
    <row r="6" spans="1:5" x14ac:dyDescent="0.25">
      <c r="A6" s="8">
        <v>40</v>
      </c>
      <c r="B6" s="24">
        <v>139.21847882617462</v>
      </c>
      <c r="C6" s="24">
        <v>0.84023806150400016</v>
      </c>
      <c r="D6" s="24">
        <v>0.70599999999999996</v>
      </c>
      <c r="E6" s="16"/>
    </row>
    <row r="7" spans="1:5" x14ac:dyDescent="0.25">
      <c r="A7" s="8">
        <v>50</v>
      </c>
      <c r="B7" s="24">
        <v>155.26096587806657</v>
      </c>
      <c r="C7" s="24">
        <v>0.8544003745317531</v>
      </c>
      <c r="D7" s="24">
        <v>0.73</v>
      </c>
      <c r="E7" s="16"/>
    </row>
    <row r="8" spans="1:5" x14ac:dyDescent="0.25">
      <c r="A8" s="8">
        <v>60</v>
      </c>
      <c r="B8" s="24">
        <v>156.95350477559671</v>
      </c>
      <c r="C8" s="24">
        <v>0.87464278422679509</v>
      </c>
      <c r="D8" s="24">
        <v>0.76500000000000001</v>
      </c>
      <c r="E8" s="16"/>
    </row>
    <row r="9" spans="1:5" x14ac:dyDescent="0.25">
      <c r="A9" s="8">
        <v>70</v>
      </c>
      <c r="B9" s="24">
        <v>169.70553538262996</v>
      </c>
      <c r="C9" s="24">
        <v>0.8544003745317531</v>
      </c>
      <c r="D9" s="24">
        <v>0.73</v>
      </c>
      <c r="E9" s="16"/>
    </row>
    <row r="10" spans="1:5" x14ac:dyDescent="0.25">
      <c r="A10" s="8">
        <v>80</v>
      </c>
      <c r="B10" s="24">
        <v>171.43697025221709</v>
      </c>
      <c r="C10" s="24">
        <v>0.82945765413310879</v>
      </c>
      <c r="D10" s="24">
        <v>0.68799999999999994</v>
      </c>
      <c r="E10" s="16"/>
    </row>
    <row r="11" spans="1:5" x14ac:dyDescent="0.25">
      <c r="A11" s="8">
        <v>90</v>
      </c>
      <c r="B11" s="24">
        <v>176.87229528170275</v>
      </c>
      <c r="C11" s="24">
        <v>0.83306662398634113</v>
      </c>
      <c r="D11" s="24">
        <v>0.69399999999999995</v>
      </c>
      <c r="E11" s="16"/>
    </row>
    <row r="12" spans="1:5" ht="15.75" thickBot="1" x14ac:dyDescent="0.3">
      <c r="A12" s="11">
        <v>100</v>
      </c>
      <c r="B12" s="25">
        <v>182.5517650824853</v>
      </c>
      <c r="C12" s="25">
        <v>0.83666002653407556</v>
      </c>
      <c r="D12" s="25">
        <v>0.7</v>
      </c>
      <c r="E12" s="17"/>
    </row>
  </sheetData>
  <hyperlinks>
    <hyperlink ref="E1" location="'Valve List'!A1" display="ValveList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7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33">
        <v>0</v>
      </c>
      <c r="C2" s="24">
        <v>0</v>
      </c>
      <c r="D2" s="24">
        <v>0</v>
      </c>
      <c r="E2" s="16"/>
    </row>
    <row r="3" spans="1:5" x14ac:dyDescent="0.25">
      <c r="A3" s="8">
        <v>10</v>
      </c>
      <c r="B3" s="24">
        <v>57.276044937845541</v>
      </c>
      <c r="C3" s="24">
        <v>0.5175644887354619</v>
      </c>
      <c r="D3" s="24">
        <v>0.26787300000000003</v>
      </c>
      <c r="E3" s="16"/>
    </row>
    <row r="4" spans="1:5" x14ac:dyDescent="0.25">
      <c r="A4" s="8">
        <v>20</v>
      </c>
      <c r="B4" s="24">
        <v>106.0829068118413</v>
      </c>
      <c r="C4" s="24">
        <v>0.53287240499016275</v>
      </c>
      <c r="D4" s="24">
        <v>0.28395300000000001</v>
      </c>
      <c r="E4" s="16"/>
    </row>
    <row r="5" spans="1:5" x14ac:dyDescent="0.25">
      <c r="A5" s="8">
        <v>30</v>
      </c>
      <c r="B5" s="24">
        <v>153.29902833480449</v>
      </c>
      <c r="C5" s="24">
        <v>0.75059309882252445</v>
      </c>
      <c r="D5" s="24">
        <v>0.56338999999999995</v>
      </c>
      <c r="E5" s="16"/>
    </row>
    <row r="6" spans="1:5" x14ac:dyDescent="0.25">
      <c r="A6" s="8">
        <v>40</v>
      </c>
      <c r="B6" s="24">
        <v>221.33980433907232</v>
      </c>
      <c r="C6" s="24">
        <v>0.77391730824423355</v>
      </c>
      <c r="D6" s="24">
        <v>0.59894800000000004</v>
      </c>
      <c r="E6" s="16"/>
    </row>
    <row r="7" spans="1:5" x14ac:dyDescent="0.25">
      <c r="A7" s="8">
        <v>50</v>
      </c>
      <c r="B7" s="24">
        <v>273.18869818831757</v>
      </c>
      <c r="C7" s="24">
        <v>0.80421514534358274</v>
      </c>
      <c r="D7" s="24">
        <v>0.64676199999999995</v>
      </c>
      <c r="E7" s="16"/>
    </row>
    <row r="8" spans="1:5" x14ac:dyDescent="0.25">
      <c r="A8" s="8">
        <v>60</v>
      </c>
      <c r="B8" s="24">
        <v>328.16255664717767</v>
      </c>
      <c r="C8" s="24">
        <v>0.86544786093675219</v>
      </c>
      <c r="D8" s="24">
        <v>0.749</v>
      </c>
      <c r="E8" s="16"/>
    </row>
    <row r="9" spans="1:5" x14ac:dyDescent="0.25">
      <c r="A9" s="8">
        <v>70</v>
      </c>
      <c r="B9" s="24">
        <v>353.47868334604794</v>
      </c>
      <c r="C9" s="24">
        <v>0.84852813742385702</v>
      </c>
      <c r="D9" s="24">
        <v>0.72</v>
      </c>
      <c r="E9" s="16"/>
    </row>
    <row r="10" spans="1:5" x14ac:dyDescent="0.25">
      <c r="A10" s="8">
        <v>80</v>
      </c>
      <c r="B10" s="24">
        <v>384.56423696979755</v>
      </c>
      <c r="C10" s="24">
        <v>0.86023252670426265</v>
      </c>
      <c r="D10" s="24">
        <v>0.74</v>
      </c>
      <c r="E10" s="16"/>
    </row>
    <row r="11" spans="1:5" x14ac:dyDescent="0.25">
      <c r="A11" s="8">
        <v>90</v>
      </c>
      <c r="B11" s="24">
        <v>422.43177995230366</v>
      </c>
      <c r="C11" s="24">
        <v>0.83246621553069644</v>
      </c>
      <c r="D11" s="24">
        <v>0.69299999999999995</v>
      </c>
      <c r="E11" s="16"/>
    </row>
    <row r="12" spans="1:5" ht="15.75" thickBot="1" x14ac:dyDescent="0.3">
      <c r="A12" s="11">
        <v>100</v>
      </c>
      <c r="B12" s="25">
        <v>432.29420021235762</v>
      </c>
      <c r="C12" s="25">
        <v>0.84734880657259437</v>
      </c>
      <c r="D12" s="25">
        <v>0.71799999999999997</v>
      </c>
      <c r="E12" s="17"/>
    </row>
  </sheetData>
  <hyperlinks>
    <hyperlink ref="E1" location="'Valve List'!A1" display="ValveList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8"/>
  <dimension ref="A1:E12"/>
  <sheetViews>
    <sheetView workbookViewId="0">
      <selection activeCell="H12" sqref="H12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f>'[1]8E33'!B2</f>
        <v>0</v>
      </c>
      <c r="C2" s="24">
        <f>'[1]8E33'!C2</f>
        <v>0</v>
      </c>
      <c r="D2" s="24">
        <f>'[1]8E33'!D2</f>
        <v>0</v>
      </c>
      <c r="E2" s="16"/>
    </row>
    <row r="3" spans="1:5" x14ac:dyDescent="0.25">
      <c r="A3" s="8">
        <v>10</v>
      </c>
      <c r="B3" s="24">
        <f>'[1]8E33'!B3</f>
        <v>134.07153965847905</v>
      </c>
      <c r="C3" s="24">
        <f>'[1]8E33'!C3</f>
        <v>0.83666002653407556</v>
      </c>
      <c r="D3" s="24">
        <f>'[1]8E33'!D3</f>
        <v>0.7</v>
      </c>
      <c r="E3" s="16"/>
    </row>
    <row r="4" spans="1:5" x14ac:dyDescent="0.25">
      <c r="A4" s="8">
        <v>20</v>
      </c>
      <c r="B4" s="24">
        <f>'[1]8E33'!B4</f>
        <v>244.80108441609102</v>
      </c>
      <c r="C4" s="24">
        <f>'[1]8E33'!C4</f>
        <v>0.83666002653407556</v>
      </c>
      <c r="D4" s="24">
        <f>'[1]8E33'!D4</f>
        <v>0.7</v>
      </c>
      <c r="E4" s="16"/>
    </row>
    <row r="5" spans="1:5" x14ac:dyDescent="0.25">
      <c r="A5" s="8">
        <v>30</v>
      </c>
      <c r="B5" s="24">
        <f>'[1]8E33'!B5</f>
        <v>345.46143467155173</v>
      </c>
      <c r="C5" s="24">
        <f>'[1]8E33'!C5</f>
        <v>0.83666002653407556</v>
      </c>
      <c r="D5" s="24">
        <f>'[1]8E33'!D5</f>
        <v>0.7</v>
      </c>
      <c r="E5" s="16"/>
    </row>
    <row r="6" spans="1:5" x14ac:dyDescent="0.25">
      <c r="A6" s="8">
        <v>40</v>
      </c>
      <c r="B6" s="24">
        <f>'[1]8E33'!B6</f>
        <v>484.83951052041743</v>
      </c>
      <c r="C6" s="24">
        <f>'[1]8E33'!C6</f>
        <v>0.83666002653407556</v>
      </c>
      <c r="D6" s="24">
        <f>'[1]8E33'!D6</f>
        <v>0.7</v>
      </c>
      <c r="E6" s="16"/>
    </row>
    <row r="7" spans="1:5" x14ac:dyDescent="0.25">
      <c r="A7" s="8">
        <v>50</v>
      </c>
      <c r="B7" s="24">
        <f>'[1]8E33'!B7</f>
        <v>565.79725611008917</v>
      </c>
      <c r="C7" s="24">
        <f>'[1]8E33'!C7</f>
        <v>0.83666002653407556</v>
      </c>
      <c r="D7" s="24">
        <f>'[1]8E33'!D7</f>
        <v>0.7</v>
      </c>
      <c r="E7" s="16"/>
    </row>
    <row r="8" spans="1:5" x14ac:dyDescent="0.25">
      <c r="A8" s="8">
        <v>75</v>
      </c>
      <c r="B8" s="24">
        <f>'[1]8E33'!B8</f>
        <v>610.04720071007557</v>
      </c>
      <c r="C8" s="24">
        <f>'[1]8E33'!C8</f>
        <v>0.89442719099991586</v>
      </c>
      <c r="D8" s="24">
        <f>'[1]8E33'!D8</f>
        <v>0.8</v>
      </c>
      <c r="E8" s="16"/>
    </row>
    <row r="9" spans="1:5" x14ac:dyDescent="0.25">
      <c r="A9" s="8">
        <v>78</v>
      </c>
      <c r="B9" s="24">
        <f>'[1]8E33'!B9</f>
        <v>661.54393511596822</v>
      </c>
      <c r="C9" s="24">
        <f>'[1]8E33'!C9</f>
        <v>0.83666002653407556</v>
      </c>
      <c r="D9" s="24">
        <f>'[1]8E33'!D9</f>
        <v>0.7</v>
      </c>
      <c r="E9" s="16"/>
    </row>
    <row r="10" spans="1:5" x14ac:dyDescent="0.25">
      <c r="A10" s="8">
        <v>83</v>
      </c>
      <c r="B10" s="24">
        <f>'[1]8E33'!B10</f>
        <v>694.25307116472982</v>
      </c>
      <c r="C10" s="24">
        <f>'[1]8E33'!C10</f>
        <v>0.83666002653407556</v>
      </c>
      <c r="D10" s="24">
        <f>'[1]8E33'!D10</f>
        <v>0.7</v>
      </c>
      <c r="E10" s="16"/>
    </row>
    <row r="11" spans="1:5" x14ac:dyDescent="0.25">
      <c r="A11" s="8">
        <v>90</v>
      </c>
      <c r="B11" s="24">
        <f>'[1]8E33'!B11</f>
        <v>712.53841797052826</v>
      </c>
      <c r="C11" s="24">
        <f>'[1]8E33'!C11</f>
        <v>0.83666002653407556</v>
      </c>
      <c r="D11" s="24">
        <f>'[1]8E33'!D11</f>
        <v>0.7</v>
      </c>
      <c r="E11" s="16"/>
    </row>
    <row r="12" spans="1:5" ht="15.75" thickBot="1" x14ac:dyDescent="0.3">
      <c r="A12" s="11">
        <v>100</v>
      </c>
      <c r="B12" s="25">
        <f>'[1]8E33'!B12</f>
        <v>726.98152688725099</v>
      </c>
      <c r="C12" s="25">
        <f>'[1]8E33'!C12</f>
        <v>0.83666002653407556</v>
      </c>
      <c r="D12" s="25">
        <f>'[1]8E33'!D12</f>
        <v>0.7</v>
      </c>
      <c r="E12" s="17"/>
    </row>
  </sheetData>
  <hyperlinks>
    <hyperlink ref="E1" location="'Valve List'!A1" display="ValveList"/>
  </hyperlinks>
  <pageMargins left="0.75" right="0.75" top="1" bottom="1" header="0.5" footer="0.5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9"/>
  <dimension ref="A1:E12"/>
  <sheetViews>
    <sheetView workbookViewId="0">
      <selection sqref="A1:E12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v>0</v>
      </c>
      <c r="C2" s="24">
        <v>0.37013511046643494</v>
      </c>
      <c r="D2" s="24">
        <v>0.13700000000000001</v>
      </c>
      <c r="E2" s="16"/>
    </row>
    <row r="3" spans="1:5" x14ac:dyDescent="0.25">
      <c r="A3" s="8">
        <v>10</v>
      </c>
      <c r="B3" s="24">
        <v>100</v>
      </c>
      <c r="C3" s="24">
        <v>0.37013511046643494</v>
      </c>
      <c r="D3" s="24">
        <v>0.13700000000000001</v>
      </c>
      <c r="E3" s="16"/>
    </row>
    <row r="4" spans="1:5" x14ac:dyDescent="0.25">
      <c r="A4" s="8">
        <v>20</v>
      </c>
      <c r="B4" s="24">
        <v>200</v>
      </c>
      <c r="C4" s="24">
        <v>0.37013511046643494</v>
      </c>
      <c r="D4" s="24">
        <v>0.13700000000000001</v>
      </c>
      <c r="E4" s="16"/>
    </row>
    <row r="5" spans="1:5" x14ac:dyDescent="0.25">
      <c r="A5" s="8">
        <v>30</v>
      </c>
      <c r="B5" s="24">
        <v>300</v>
      </c>
      <c r="C5" s="24">
        <v>0.37013511046643494</v>
      </c>
      <c r="D5" s="24">
        <v>0.13700000000000001</v>
      </c>
      <c r="E5" s="16"/>
    </row>
    <row r="6" spans="1:5" x14ac:dyDescent="0.25">
      <c r="A6" s="8">
        <v>40</v>
      </c>
      <c r="B6" s="24">
        <v>400</v>
      </c>
      <c r="C6" s="24">
        <v>0.37013511046643494</v>
      </c>
      <c r="D6" s="24">
        <v>0.13700000000000001</v>
      </c>
      <c r="E6" s="16"/>
    </row>
    <row r="7" spans="1:5" x14ac:dyDescent="0.25">
      <c r="A7" s="8">
        <v>50</v>
      </c>
      <c r="B7" s="24">
        <v>600</v>
      </c>
      <c r="C7" s="24">
        <v>0.57271284253105414</v>
      </c>
      <c r="D7" s="24">
        <v>0.13700000000000001</v>
      </c>
      <c r="E7" s="16"/>
    </row>
    <row r="8" spans="1:5" x14ac:dyDescent="0.25">
      <c r="A8" s="8">
        <v>75</v>
      </c>
      <c r="B8" s="24">
        <v>980</v>
      </c>
      <c r="C8" s="24">
        <v>0.57271284253105414</v>
      </c>
      <c r="D8" s="24">
        <v>0.32800000000000001</v>
      </c>
      <c r="E8" s="16"/>
    </row>
    <row r="9" spans="1:5" x14ac:dyDescent="0.25">
      <c r="A9" s="8">
        <v>78</v>
      </c>
      <c r="B9" s="24">
        <v>1118</v>
      </c>
      <c r="C9" s="24">
        <v>0.57271284253105414</v>
      </c>
      <c r="D9" s="24">
        <v>0.32800000000000001</v>
      </c>
      <c r="E9" s="16"/>
    </row>
    <row r="10" spans="1:5" x14ac:dyDescent="0.25">
      <c r="A10" s="8">
        <v>83</v>
      </c>
      <c r="B10" s="24">
        <v>1515</v>
      </c>
      <c r="C10" s="24">
        <v>0.72456883730947197</v>
      </c>
      <c r="D10" s="24">
        <v>0.252</v>
      </c>
      <c r="E10" s="16"/>
    </row>
    <row r="11" spans="1:5" x14ac:dyDescent="0.25">
      <c r="A11" s="8">
        <v>90</v>
      </c>
      <c r="B11" s="24">
        <v>1800</v>
      </c>
      <c r="C11" s="24">
        <v>0.54772255750516607</v>
      </c>
      <c r="D11" s="24">
        <v>0.252</v>
      </c>
      <c r="E11" s="16"/>
    </row>
    <row r="12" spans="1:5" ht="15.75" thickBot="1" x14ac:dyDescent="0.3">
      <c r="A12" s="11">
        <v>100</v>
      </c>
      <c r="B12" s="25">
        <v>2190</v>
      </c>
      <c r="C12" s="25">
        <v>0.37013511046643494</v>
      </c>
      <c r="D12" s="25">
        <v>0.13700000000000001</v>
      </c>
      <c r="E12" s="17"/>
    </row>
  </sheetData>
  <hyperlinks>
    <hyperlink ref="E1" location="'Valve List'!A1" display="ValveList"/>
  </hyperlinks>
  <pageMargins left="0.75" right="0.75" top="1" bottom="1" header="0.5" footer="0.5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0"/>
  <dimension ref="A1:E12"/>
  <sheetViews>
    <sheetView workbookViewId="0">
      <selection sqref="A1:E12"/>
    </sheetView>
  </sheetViews>
  <sheetFormatPr defaultRowHeight="15" x14ac:dyDescent="0.25"/>
  <cols>
    <col min="1" max="6" width="15.7109375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v>0</v>
      </c>
      <c r="C2" s="24">
        <v>0.88600225733346749</v>
      </c>
      <c r="D2" s="24">
        <v>0.78500000000000003</v>
      </c>
      <c r="E2" s="16"/>
    </row>
    <row r="3" spans="1:5" x14ac:dyDescent="0.25">
      <c r="A3" s="8">
        <v>10</v>
      </c>
      <c r="B3" s="24">
        <v>191.8426310381796</v>
      </c>
      <c r="C3" s="24">
        <v>0.88600225733346749</v>
      </c>
      <c r="D3" s="24">
        <v>0.78500000000000003</v>
      </c>
      <c r="E3" s="16"/>
    </row>
    <row r="4" spans="1:5" x14ac:dyDescent="0.25">
      <c r="A4" s="8">
        <v>20</v>
      </c>
      <c r="B4" s="24">
        <v>233.954428095341</v>
      </c>
      <c r="C4" s="24">
        <v>0.88600225733346749</v>
      </c>
      <c r="D4" s="24">
        <v>0.78500000000000003</v>
      </c>
      <c r="E4" s="16"/>
    </row>
    <row r="5" spans="1:5" x14ac:dyDescent="0.25">
      <c r="A5" s="8">
        <v>30</v>
      </c>
      <c r="B5" s="24">
        <v>285.31027816505002</v>
      </c>
      <c r="C5" s="24">
        <v>0.88600225733346749</v>
      </c>
      <c r="D5" s="24">
        <v>0.78500000000000003</v>
      </c>
      <c r="E5" s="16"/>
    </row>
    <row r="6" spans="1:5" x14ac:dyDescent="0.25">
      <c r="A6" s="8">
        <v>40</v>
      </c>
      <c r="B6" s="24">
        <v>347.93936361591466</v>
      </c>
      <c r="C6" s="24">
        <v>0.88600225733346749</v>
      </c>
      <c r="D6" s="24">
        <v>0.78500000000000003</v>
      </c>
      <c r="E6" s="16"/>
    </row>
    <row r="7" spans="1:5" x14ac:dyDescent="0.25">
      <c r="A7" s="8">
        <v>50</v>
      </c>
      <c r="B7" s="24">
        <v>424.31629709257885</v>
      </c>
      <c r="C7" s="24">
        <v>0.88600225733346749</v>
      </c>
      <c r="D7" s="24">
        <v>0.78500000000000003</v>
      </c>
      <c r="E7" s="16"/>
    </row>
    <row r="8" spans="1:5" x14ac:dyDescent="0.25">
      <c r="A8" s="8">
        <v>60</v>
      </c>
      <c r="B8" s="24">
        <v>517.45889889338889</v>
      </c>
      <c r="C8" s="24">
        <v>0.88600225733346749</v>
      </c>
      <c r="D8" s="24">
        <v>0.78500000000000003</v>
      </c>
      <c r="E8" s="16"/>
    </row>
    <row r="9" spans="1:5" x14ac:dyDescent="0.25">
      <c r="A9" s="8">
        <v>70</v>
      </c>
      <c r="B9" s="24">
        <v>631.04743767486457</v>
      </c>
      <c r="C9" s="24">
        <v>0.88600225733346749</v>
      </c>
      <c r="D9" s="24">
        <v>0.78500000000000003</v>
      </c>
      <c r="E9" s="16"/>
    </row>
    <row r="10" spans="1:5" x14ac:dyDescent="0.25">
      <c r="A10" s="8">
        <v>80</v>
      </c>
      <c r="B10" s="24">
        <v>769.57004594495686</v>
      </c>
      <c r="C10" s="24">
        <v>0.88600225733346749</v>
      </c>
      <c r="D10" s="24">
        <v>0.78500000000000003</v>
      </c>
      <c r="E10" s="16"/>
    </row>
    <row r="11" spans="1:5" x14ac:dyDescent="0.25">
      <c r="A11" s="8">
        <v>90</v>
      </c>
      <c r="B11" s="24">
        <v>938.5000560304353</v>
      </c>
      <c r="C11" s="24">
        <v>0.88600225733346749</v>
      </c>
      <c r="D11" s="24">
        <v>0.78500000000000003</v>
      </c>
      <c r="E11" s="16"/>
    </row>
    <row r="12" spans="1:5" ht="15.75" thickBot="1" x14ac:dyDescent="0.3">
      <c r="A12" s="11">
        <v>100</v>
      </c>
      <c r="B12" s="25">
        <v>1144.5122634517504</v>
      </c>
      <c r="C12" s="25">
        <v>0.88600225733346749</v>
      </c>
      <c r="D12" s="25">
        <v>0.78500000000000003</v>
      </c>
      <c r="E12" s="17"/>
    </row>
  </sheetData>
  <hyperlinks>
    <hyperlink ref="E1" location="'Valve List'!A1" display="ValveList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1"/>
  <dimension ref="A1:E13"/>
  <sheetViews>
    <sheetView workbookViewId="0">
      <selection sqref="A1:E13"/>
    </sheetView>
  </sheetViews>
  <sheetFormatPr defaultRowHeight="15" x14ac:dyDescent="0.25"/>
  <cols>
    <col min="1" max="6" width="15.7109375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v>0</v>
      </c>
      <c r="C2" s="24">
        <v>0</v>
      </c>
      <c r="D2" s="24">
        <v>0</v>
      </c>
      <c r="E2" s="16"/>
    </row>
    <row r="3" spans="1:5" x14ac:dyDescent="0.25">
      <c r="A3" s="8">
        <v>10</v>
      </c>
      <c r="B3" s="24">
        <v>220.07140150360379</v>
      </c>
      <c r="C3" s="24">
        <v>0.69877249516562978</v>
      </c>
      <c r="D3" s="24">
        <v>0.48828300000000002</v>
      </c>
      <c r="E3" s="16"/>
    </row>
    <row r="4" spans="1:5" x14ac:dyDescent="0.25">
      <c r="A4" s="8">
        <v>20</v>
      </c>
      <c r="B4" s="24">
        <v>437.31118084431722</v>
      </c>
      <c r="C4" s="24">
        <v>0.80218451742725627</v>
      </c>
      <c r="D4" s="24">
        <v>0.64349999999999996</v>
      </c>
      <c r="E4" s="16"/>
    </row>
    <row r="5" spans="1:5" x14ac:dyDescent="0.25">
      <c r="A5" s="8">
        <v>30</v>
      </c>
      <c r="B5" s="24">
        <v>664.38926826199395</v>
      </c>
      <c r="C5" s="24">
        <v>0.85790442358108865</v>
      </c>
      <c r="D5" s="24">
        <v>0.73599999999999999</v>
      </c>
      <c r="E5" s="16"/>
    </row>
    <row r="6" spans="1:5" x14ac:dyDescent="0.25">
      <c r="A6" s="8">
        <v>40</v>
      </c>
      <c r="B6" s="24">
        <v>944.35978909210371</v>
      </c>
      <c r="C6" s="24">
        <v>0.83066238629180744</v>
      </c>
      <c r="D6" s="24">
        <v>0.69</v>
      </c>
      <c r="E6" s="16"/>
    </row>
    <row r="7" spans="1:5" x14ac:dyDescent="0.25">
      <c r="A7" s="8">
        <v>50</v>
      </c>
      <c r="B7" s="24">
        <v>1085.690320033347</v>
      </c>
      <c r="C7" s="24">
        <v>0.92195444572928875</v>
      </c>
      <c r="D7" s="24">
        <v>0.85</v>
      </c>
      <c r="E7" s="16"/>
    </row>
    <row r="8" spans="1:5" x14ac:dyDescent="0.25">
      <c r="A8" s="8">
        <v>60</v>
      </c>
      <c r="B8" s="24">
        <v>1147.7574480502428</v>
      </c>
      <c r="C8" s="24">
        <v>0.93487967140161943</v>
      </c>
      <c r="D8" s="24">
        <v>0.874</v>
      </c>
      <c r="E8" s="16"/>
    </row>
    <row r="9" spans="1:5" x14ac:dyDescent="0.25">
      <c r="A9" s="8">
        <v>70</v>
      </c>
      <c r="B9" s="24">
        <v>1216.1400189328795</v>
      </c>
      <c r="C9" s="24">
        <v>0.91323600454646991</v>
      </c>
      <c r="D9" s="24">
        <v>0.83399999999999996</v>
      </c>
      <c r="E9" s="16"/>
    </row>
    <row r="10" spans="1:5" x14ac:dyDescent="0.25">
      <c r="A10" s="8">
        <v>80</v>
      </c>
      <c r="B10" s="24">
        <v>1314.2861014953289</v>
      </c>
      <c r="C10" s="24">
        <v>0.85732140997411233</v>
      </c>
      <c r="D10" s="24">
        <v>0.73499999999999999</v>
      </c>
      <c r="E10" s="16"/>
    </row>
    <row r="11" spans="1:5" x14ac:dyDescent="0.25">
      <c r="A11" s="8">
        <v>83</v>
      </c>
      <c r="B11" s="24">
        <v>1318.2289597998147</v>
      </c>
      <c r="C11" s="24">
        <v>0.85732140997411233</v>
      </c>
      <c r="D11" s="24">
        <v>0.73499999999999999</v>
      </c>
      <c r="E11" s="16"/>
    </row>
    <row r="12" spans="1:5" x14ac:dyDescent="0.25">
      <c r="A12" s="8">
        <v>90</v>
      </c>
      <c r="B12" s="24">
        <v>1323.1382921661962</v>
      </c>
      <c r="C12" s="24">
        <v>0.82915619758884995</v>
      </c>
      <c r="D12" s="24">
        <v>0.6875</v>
      </c>
      <c r="E12" s="16"/>
    </row>
    <row r="13" spans="1:5" ht="15.75" thickBot="1" x14ac:dyDescent="0.3">
      <c r="A13" s="11">
        <v>100</v>
      </c>
      <c r="B13" s="25">
        <v>1338.6455999460391</v>
      </c>
      <c r="C13" s="25">
        <v>0.778619932958308</v>
      </c>
      <c r="D13" s="25">
        <v>0.60624900000000004</v>
      </c>
      <c r="E13" s="17"/>
    </row>
  </sheetData>
  <hyperlinks>
    <hyperlink ref="E1" location="'Valve List'!A1" display="ValveList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2"/>
  <dimension ref="A1:E12"/>
  <sheetViews>
    <sheetView workbookViewId="0">
      <selection sqref="A1:E12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v>0</v>
      </c>
      <c r="C2" s="24">
        <v>0</v>
      </c>
      <c r="D2" s="24">
        <v>0</v>
      </c>
      <c r="E2" s="16"/>
    </row>
    <row r="3" spans="1:5" x14ac:dyDescent="0.25">
      <c r="A3" s="8">
        <v>10</v>
      </c>
      <c r="B3" s="24">
        <v>489.67725984034814</v>
      </c>
      <c r="C3" s="24">
        <v>0.778619932958308</v>
      </c>
      <c r="D3" s="24">
        <v>0.60624900000000004</v>
      </c>
      <c r="E3" s="16"/>
    </row>
    <row r="4" spans="1:5" x14ac:dyDescent="0.25">
      <c r="A4" s="8">
        <v>20</v>
      </c>
      <c r="B4" s="24">
        <v>589.97260221728698</v>
      </c>
      <c r="C4" s="24">
        <v>0.778619932958308</v>
      </c>
      <c r="D4" s="24">
        <v>0.60624900000000004</v>
      </c>
      <c r="E4" s="16"/>
    </row>
    <row r="5" spans="1:5" x14ac:dyDescent="0.25">
      <c r="A5" s="8">
        <v>30</v>
      </c>
      <c r="B5" s="24">
        <v>710.81036411721323</v>
      </c>
      <c r="C5" s="24">
        <v>0.778619932958308</v>
      </c>
      <c r="D5" s="24">
        <v>0.60624900000000004</v>
      </c>
      <c r="E5" s="16"/>
    </row>
    <row r="6" spans="1:5" x14ac:dyDescent="0.25">
      <c r="A6" s="8">
        <v>40</v>
      </c>
      <c r="B6" s="24">
        <v>856.3980290568835</v>
      </c>
      <c r="C6" s="24">
        <v>0.778619932958308</v>
      </c>
      <c r="D6" s="24">
        <v>0.60624900000000004</v>
      </c>
      <c r="E6" s="16"/>
    </row>
    <row r="7" spans="1:5" x14ac:dyDescent="0.25">
      <c r="A7" s="8">
        <v>50</v>
      </c>
      <c r="B7" s="24">
        <v>1031.8048542854019</v>
      </c>
      <c r="C7" s="24">
        <v>0.778619932958308</v>
      </c>
      <c r="D7" s="24">
        <v>0.60624900000000004</v>
      </c>
      <c r="E7" s="16"/>
    </row>
    <row r="8" spans="1:5" x14ac:dyDescent="0.25">
      <c r="A8" s="8">
        <v>60</v>
      </c>
      <c r="B8" s="24">
        <v>1243.1383786571109</v>
      </c>
      <c r="C8" s="24">
        <v>0.778619932958308</v>
      </c>
      <c r="D8" s="24">
        <v>0.60624900000000004</v>
      </c>
      <c r="E8" s="16"/>
    </row>
    <row r="9" spans="1:5" x14ac:dyDescent="0.25">
      <c r="A9" s="8">
        <v>70</v>
      </c>
      <c r="B9" s="24">
        <v>1497.7570827194108</v>
      </c>
      <c r="C9" s="24">
        <v>0.778619932958308</v>
      </c>
      <c r="D9" s="24">
        <v>0.60624900000000004</v>
      </c>
      <c r="E9" s="16"/>
    </row>
    <row r="10" spans="1:5" x14ac:dyDescent="0.25">
      <c r="A10" s="8">
        <v>80</v>
      </c>
      <c r="B10" s="24">
        <v>1804.5266056860373</v>
      </c>
      <c r="C10" s="24">
        <v>0.778619932958308</v>
      </c>
      <c r="D10" s="24">
        <v>0.60624900000000004</v>
      </c>
      <c r="E10" s="16"/>
    </row>
    <row r="11" spans="1:5" x14ac:dyDescent="0.25">
      <c r="A11" s="8">
        <v>90</v>
      </c>
      <c r="B11" s="24">
        <v>2174.1284405855872</v>
      </c>
      <c r="C11" s="24">
        <v>0.778619932958308</v>
      </c>
      <c r="D11" s="24">
        <v>0.60624900000000004</v>
      </c>
      <c r="E11" s="16"/>
    </row>
    <row r="12" spans="1:5" ht="15.75" thickBot="1" x14ac:dyDescent="0.3">
      <c r="A12" s="11">
        <v>100</v>
      </c>
      <c r="B12" s="25">
        <v>2619.4318561272139</v>
      </c>
      <c r="C12" s="25">
        <v>0.778619932958308</v>
      </c>
      <c r="D12" s="25">
        <v>0.60624900000000004</v>
      </c>
      <c r="E12" s="17"/>
    </row>
  </sheetData>
  <hyperlinks>
    <hyperlink ref="E1" location="'Valve List'!A1" display="ValveList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3"/>
  <dimension ref="A1:E12"/>
  <sheetViews>
    <sheetView workbookViewId="0">
      <selection sqref="A1:E12"/>
    </sheetView>
  </sheetViews>
  <sheetFormatPr defaultRowHeight="15" x14ac:dyDescent="0.25"/>
  <cols>
    <col min="1" max="5" width="15.7109375" style="2" customWidth="1"/>
  </cols>
  <sheetData>
    <row r="1" spans="1:5" ht="15.75" thickBot="1" x14ac:dyDescent="0.3">
      <c r="A1" s="13" t="s">
        <v>13</v>
      </c>
      <c r="B1" s="14" t="s">
        <v>14</v>
      </c>
      <c r="C1" s="14" t="s">
        <v>15</v>
      </c>
      <c r="D1" s="14" t="s">
        <v>16</v>
      </c>
      <c r="E1" s="15" t="s">
        <v>17</v>
      </c>
    </row>
    <row r="2" spans="1:5" x14ac:dyDescent="0.25">
      <c r="A2" s="8">
        <v>0</v>
      </c>
      <c r="B2" s="24">
        <v>0</v>
      </c>
      <c r="C2" s="24">
        <v>0</v>
      </c>
      <c r="D2" s="24">
        <v>0</v>
      </c>
      <c r="E2" s="16"/>
    </row>
    <row r="3" spans="1:5" x14ac:dyDescent="0.25">
      <c r="A3" s="8">
        <v>10</v>
      </c>
      <c r="B3" s="24">
        <v>713.58991541814669</v>
      </c>
      <c r="C3" s="24">
        <v>0.778619932958308</v>
      </c>
      <c r="D3" s="24">
        <v>0.60624900000000004</v>
      </c>
      <c r="E3" s="16"/>
    </row>
    <row r="4" spans="1:5" x14ac:dyDescent="0.25">
      <c r="A4" s="8">
        <v>20</v>
      </c>
      <c r="B4" s="24">
        <v>839.51754755076081</v>
      </c>
      <c r="C4" s="24">
        <v>0.778619932958308</v>
      </c>
      <c r="D4" s="24">
        <v>0.60624900000000004</v>
      </c>
      <c r="E4" s="16"/>
    </row>
    <row r="5" spans="1:5" x14ac:dyDescent="0.25">
      <c r="A5" s="8">
        <v>30</v>
      </c>
      <c r="B5" s="24">
        <v>987.66770300089513</v>
      </c>
      <c r="C5" s="24">
        <v>0.778619932958308</v>
      </c>
      <c r="D5" s="24">
        <v>0.60624900000000004</v>
      </c>
      <c r="E5" s="16"/>
    </row>
    <row r="6" spans="1:5" x14ac:dyDescent="0.25">
      <c r="A6" s="8">
        <v>40</v>
      </c>
      <c r="B6" s="24">
        <v>1161.9620035304649</v>
      </c>
      <c r="C6" s="24">
        <v>0.778619932958308</v>
      </c>
      <c r="D6" s="24">
        <v>0.60624900000000004</v>
      </c>
      <c r="E6" s="16"/>
    </row>
    <row r="7" spans="1:5" x14ac:dyDescent="0.25">
      <c r="A7" s="8">
        <v>50</v>
      </c>
      <c r="B7" s="24">
        <v>1367.0141218005469</v>
      </c>
      <c r="C7" s="24">
        <v>0.778619932958308</v>
      </c>
      <c r="D7" s="24">
        <v>0.60624900000000004</v>
      </c>
      <c r="E7" s="16"/>
    </row>
    <row r="8" spans="1:5" x14ac:dyDescent="0.25">
      <c r="A8" s="8">
        <v>60</v>
      </c>
      <c r="B8" s="24">
        <v>1608.2519080006434</v>
      </c>
      <c r="C8" s="24">
        <v>0.778619932958308</v>
      </c>
      <c r="D8" s="24">
        <v>0.60624900000000004</v>
      </c>
      <c r="E8" s="16"/>
    </row>
    <row r="9" spans="1:5" x14ac:dyDescent="0.25">
      <c r="A9" s="8">
        <v>70</v>
      </c>
      <c r="B9" s="24">
        <v>1892.0610682360511</v>
      </c>
      <c r="C9" s="24">
        <v>0.778619932958308</v>
      </c>
      <c r="D9" s="24">
        <v>0.60624900000000004</v>
      </c>
      <c r="E9" s="16"/>
    </row>
    <row r="10" spans="1:5" x14ac:dyDescent="0.25">
      <c r="A10" s="8">
        <v>80</v>
      </c>
      <c r="B10" s="24">
        <v>2225.954197924766</v>
      </c>
      <c r="C10" s="24">
        <v>0.778619932958308</v>
      </c>
      <c r="D10" s="24">
        <v>0.60624900000000004</v>
      </c>
      <c r="E10" s="16"/>
    </row>
    <row r="11" spans="1:5" x14ac:dyDescent="0.25">
      <c r="A11" s="8">
        <v>90</v>
      </c>
      <c r="B11" s="24">
        <v>2618.7696446173718</v>
      </c>
      <c r="C11" s="24">
        <v>0.778619932958308</v>
      </c>
      <c r="D11" s="24">
        <v>0.60624900000000004</v>
      </c>
      <c r="E11" s="16"/>
    </row>
    <row r="12" spans="1:5" ht="15.75" thickBot="1" x14ac:dyDescent="0.3">
      <c r="A12" s="11">
        <v>100</v>
      </c>
      <c r="B12" s="25">
        <v>3080.9054642557317</v>
      </c>
      <c r="C12" s="25">
        <v>0.778619932958308</v>
      </c>
      <c r="D12" s="25">
        <v>0.60624900000000004</v>
      </c>
      <c r="E12" s="17"/>
    </row>
  </sheetData>
  <hyperlinks>
    <hyperlink ref="E1" location="'Valve List'!A1" display="ValveList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4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88.233180317705035</v>
      </c>
      <c r="C3" s="20">
        <v>0.778619932958308</v>
      </c>
      <c r="D3" s="20">
        <v>0.60624900000000004</v>
      </c>
      <c r="E3" s="18"/>
    </row>
    <row r="4" spans="1:5" x14ac:dyDescent="0.25">
      <c r="A4" s="22">
        <v>25</v>
      </c>
      <c r="B4" s="20">
        <v>101.41744864104027</v>
      </c>
      <c r="C4" s="20">
        <v>0.778619932958308</v>
      </c>
      <c r="D4" s="20">
        <v>0.60624900000000004</v>
      </c>
      <c r="E4" s="18"/>
    </row>
    <row r="5" spans="1:5" x14ac:dyDescent="0.25">
      <c r="A5" s="22">
        <v>30</v>
      </c>
      <c r="B5" s="20">
        <v>116.57178004717272</v>
      </c>
      <c r="C5" s="20">
        <v>0.778619932958308</v>
      </c>
      <c r="D5" s="20">
        <v>0.60624900000000004</v>
      </c>
      <c r="E5" s="18"/>
    </row>
    <row r="6" spans="1:5" x14ac:dyDescent="0.25">
      <c r="A6" s="22">
        <v>40</v>
      </c>
      <c r="B6" s="20">
        <v>133.99055177835945</v>
      </c>
      <c r="C6" s="20">
        <v>0.778619932958308</v>
      </c>
      <c r="D6" s="20">
        <v>0.60624900000000004</v>
      </c>
      <c r="E6" s="18"/>
    </row>
    <row r="7" spans="1:5" x14ac:dyDescent="0.25">
      <c r="A7" s="22">
        <v>50</v>
      </c>
      <c r="B7" s="20">
        <v>154.01212848087292</v>
      </c>
      <c r="C7" s="20">
        <v>0.778619932958308</v>
      </c>
      <c r="D7" s="20">
        <v>0.60624900000000004</v>
      </c>
      <c r="E7" s="18"/>
    </row>
    <row r="8" spans="1:5" x14ac:dyDescent="0.25">
      <c r="A8" s="22">
        <v>60</v>
      </c>
      <c r="B8" s="20">
        <v>177.02543503548611</v>
      </c>
      <c r="C8" s="20">
        <v>0.778619932958308</v>
      </c>
      <c r="D8" s="20">
        <v>0.60624900000000004</v>
      </c>
      <c r="E8" s="18"/>
    </row>
    <row r="9" spans="1:5" x14ac:dyDescent="0.25">
      <c r="A9" s="22">
        <v>70</v>
      </c>
      <c r="B9" s="20">
        <v>203.47751153504151</v>
      </c>
      <c r="C9" s="20">
        <v>0.778619932958308</v>
      </c>
      <c r="D9" s="20">
        <v>0.60624900000000004</v>
      </c>
      <c r="E9" s="18"/>
    </row>
    <row r="10" spans="1:5" x14ac:dyDescent="0.25">
      <c r="A10" s="22">
        <v>80</v>
      </c>
      <c r="B10" s="20">
        <v>233.88219716671438</v>
      </c>
      <c r="C10" s="20">
        <v>0.778619932958308</v>
      </c>
      <c r="D10" s="20">
        <v>0.60624900000000004</v>
      </c>
      <c r="E10" s="18"/>
    </row>
    <row r="11" spans="1:5" x14ac:dyDescent="0.25">
      <c r="A11" s="22">
        <v>90</v>
      </c>
      <c r="B11" s="20">
        <v>268.83011168587859</v>
      </c>
      <c r="C11" s="20">
        <v>0.778619932958308</v>
      </c>
      <c r="D11" s="20">
        <v>0.60624900000000004</v>
      </c>
      <c r="E11" s="18"/>
    </row>
    <row r="12" spans="1:5" ht="15.75" thickBot="1" x14ac:dyDescent="0.3">
      <c r="A12" s="23">
        <v>100</v>
      </c>
      <c r="B12" s="21">
        <v>309.00012837457308</v>
      </c>
      <c r="C12" s="21">
        <v>0.778619932958308</v>
      </c>
      <c r="D12" s="21">
        <v>0.60624900000000004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5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202.09531731077016</v>
      </c>
      <c r="C3" s="20">
        <v>0.778619932958308</v>
      </c>
      <c r="D3" s="20">
        <v>0.60624900000000004</v>
      </c>
      <c r="E3" s="18"/>
    </row>
    <row r="4" spans="1:5" x14ac:dyDescent="0.25">
      <c r="A4" s="22">
        <v>25</v>
      </c>
      <c r="B4" s="20">
        <v>232.29346817329903</v>
      </c>
      <c r="C4" s="20">
        <v>0.778619932958308</v>
      </c>
      <c r="D4" s="20">
        <v>0.60624900000000004</v>
      </c>
      <c r="E4" s="18"/>
    </row>
    <row r="5" spans="1:5" x14ac:dyDescent="0.25">
      <c r="A5" s="22">
        <v>30</v>
      </c>
      <c r="B5" s="20">
        <v>267.00398640609086</v>
      </c>
      <c r="C5" s="20">
        <v>0.778619932958308</v>
      </c>
      <c r="D5" s="20">
        <v>0.60624900000000004</v>
      </c>
      <c r="E5" s="18"/>
    </row>
    <row r="6" spans="1:5" x14ac:dyDescent="0.25">
      <c r="A6" s="22">
        <v>40</v>
      </c>
      <c r="B6" s="20">
        <v>306.90113380010445</v>
      </c>
      <c r="C6" s="20">
        <v>0.778619932958308</v>
      </c>
      <c r="D6" s="20">
        <v>0.60624900000000004</v>
      </c>
      <c r="E6" s="18"/>
    </row>
    <row r="7" spans="1:5" x14ac:dyDescent="0.25">
      <c r="A7" s="22">
        <v>50</v>
      </c>
      <c r="B7" s="20">
        <v>352.759923908166</v>
      </c>
      <c r="C7" s="20">
        <v>0.778619932958308</v>
      </c>
      <c r="D7" s="20">
        <v>0.60624900000000004</v>
      </c>
      <c r="E7" s="18"/>
    </row>
    <row r="8" spans="1:5" x14ac:dyDescent="0.25">
      <c r="A8" s="22">
        <v>60</v>
      </c>
      <c r="B8" s="20">
        <v>405.47117690593791</v>
      </c>
      <c r="C8" s="20">
        <v>0.778619932958308</v>
      </c>
      <c r="D8" s="20">
        <v>0.60624900000000004</v>
      </c>
      <c r="E8" s="18"/>
    </row>
    <row r="9" spans="1:5" x14ac:dyDescent="0.25">
      <c r="A9" s="22">
        <v>70</v>
      </c>
      <c r="B9" s="20">
        <v>466.05882402981371</v>
      </c>
      <c r="C9" s="20">
        <v>0.778619932958308</v>
      </c>
      <c r="D9" s="20">
        <v>0.60624900000000004</v>
      </c>
      <c r="E9" s="18"/>
    </row>
    <row r="10" spans="1:5" x14ac:dyDescent="0.25">
      <c r="A10" s="22">
        <v>80</v>
      </c>
      <c r="B10" s="20">
        <v>535.69979773541809</v>
      </c>
      <c r="C10" s="20">
        <v>0.778619932958308</v>
      </c>
      <c r="D10" s="20">
        <v>0.60624900000000004</v>
      </c>
      <c r="E10" s="18"/>
    </row>
    <row r="11" spans="1:5" x14ac:dyDescent="0.25">
      <c r="A11" s="22">
        <v>90</v>
      </c>
      <c r="B11" s="20">
        <v>615.74689394875645</v>
      </c>
      <c r="C11" s="20">
        <v>0.778619932958308</v>
      </c>
      <c r="D11" s="20">
        <v>0.60624900000000004</v>
      </c>
      <c r="E11" s="18"/>
    </row>
    <row r="12" spans="1:5" ht="15.75" thickBot="1" x14ac:dyDescent="0.3">
      <c r="A12" s="23">
        <v>100</v>
      </c>
      <c r="B12" s="21">
        <v>707.75505051581206</v>
      </c>
      <c r="C12" s="21">
        <v>0.778619932958308</v>
      </c>
      <c r="D12" s="21">
        <v>0.60624900000000004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6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0.778619932958308</v>
      </c>
      <c r="D3" s="24">
        <v>0.60624900000000004</v>
      </c>
      <c r="E3" s="18"/>
    </row>
    <row r="4" spans="1:5" x14ac:dyDescent="0.25">
      <c r="A4" s="22">
        <v>25</v>
      </c>
      <c r="B4" s="20">
        <v>153.60863189832318</v>
      </c>
      <c r="C4" s="20">
        <v>0.778619932958308</v>
      </c>
      <c r="D4" s="20">
        <v>0.60624900000000004</v>
      </c>
      <c r="E4" s="18"/>
    </row>
    <row r="5" spans="1:5" x14ac:dyDescent="0.25">
      <c r="A5" s="22">
        <v>30</v>
      </c>
      <c r="B5" s="20">
        <v>180.71603752743903</v>
      </c>
      <c r="C5" s="20">
        <v>0.778619932958308</v>
      </c>
      <c r="D5" s="20">
        <v>0.60624900000000004</v>
      </c>
      <c r="E5" s="18"/>
    </row>
    <row r="6" spans="1:5" x14ac:dyDescent="0.25">
      <c r="A6" s="22">
        <v>40</v>
      </c>
      <c r="B6" s="20">
        <v>240.95471670325205</v>
      </c>
      <c r="C6" s="20">
        <v>0.778619932958308</v>
      </c>
      <c r="D6" s="20">
        <v>0.60624900000000004</v>
      </c>
      <c r="E6" s="18"/>
    </row>
    <row r="7" spans="1:5" x14ac:dyDescent="0.25">
      <c r="A7" s="22">
        <v>50</v>
      </c>
      <c r="B7" s="20">
        <v>321.27295560433606</v>
      </c>
      <c r="C7" s="20">
        <v>0.778619932958308</v>
      </c>
      <c r="D7" s="20">
        <v>0.60624900000000004</v>
      </c>
      <c r="E7" s="18"/>
    </row>
    <row r="8" spans="1:5" x14ac:dyDescent="0.25">
      <c r="A8" s="22">
        <v>60</v>
      </c>
      <c r="B8" s="20">
        <v>428.3639408057814</v>
      </c>
      <c r="C8" s="20">
        <v>0.778619932958308</v>
      </c>
      <c r="D8" s="20">
        <v>0.60624900000000004</v>
      </c>
      <c r="E8" s="18"/>
    </row>
    <row r="9" spans="1:5" x14ac:dyDescent="0.25">
      <c r="A9" s="22">
        <v>70</v>
      </c>
      <c r="B9" s="20">
        <v>571.1519210743752</v>
      </c>
      <c r="C9" s="20">
        <v>0.778619932958308</v>
      </c>
      <c r="D9" s="20">
        <v>0.60624900000000004</v>
      </c>
      <c r="E9" s="18"/>
    </row>
    <row r="10" spans="1:5" x14ac:dyDescent="0.25">
      <c r="A10" s="22">
        <v>80</v>
      </c>
      <c r="B10" s="20">
        <v>761.53589476583352</v>
      </c>
      <c r="C10" s="20">
        <v>0.778619932958308</v>
      </c>
      <c r="D10" s="20">
        <v>0.60624900000000004</v>
      </c>
      <c r="E10" s="18"/>
    </row>
    <row r="11" spans="1:5" x14ac:dyDescent="0.25">
      <c r="A11" s="22">
        <v>90</v>
      </c>
      <c r="B11" s="20">
        <v>1015.3811930211114</v>
      </c>
      <c r="C11" s="20">
        <v>0.778619932958308</v>
      </c>
      <c r="D11" s="20">
        <v>0.60624900000000004</v>
      </c>
      <c r="E11" s="18"/>
    </row>
    <row r="12" spans="1:5" ht="15.75" thickBot="1" x14ac:dyDescent="0.3">
      <c r="A12" s="23">
        <v>100</v>
      </c>
      <c r="B12" s="21">
        <v>1353.8415906948151</v>
      </c>
      <c r="C12" s="21">
        <v>0.778619932958308</v>
      </c>
      <c r="D12" s="21">
        <v>0.60624900000000004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7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18.986232644492688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44.383454121572619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142.05858314674643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260.93930660910786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457.75779764190349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777.14975431228527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984.39348661726467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1115.0442453350299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1145.7583178945802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8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234.8375415557019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313.11672207426921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417.48896276569224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556.65195035425631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742.20260047234171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989.60346729645562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1319.4712897286074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1759.2950529714765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2345.726737295302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19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288.44974223739052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384.59965631652068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512.79954175536091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683.73272234048125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911.64362978730833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1215.5248397164112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1620.6997862885482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2160.9330483847311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2881.244064512975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0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333.65701320708223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444.87601760944295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593.16802347925727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790.8906979723431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1054.5209306297909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1406.0279075063879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1874.7038766751839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2499.6051689002452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3332.8068918669933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1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240.43844084045631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343.4834869149376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490.69069559276801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700.98670798966862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1001.4095828423838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1430.5851183462626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2043.6930262089468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2919.5614660127812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4170.8020943039737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2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574.85197006351962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766.46929341802615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1021.9590578907016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1362.6120771876022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1816.8161029168027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2422.421470555737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3229.8952940743156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4306.5270587657542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5742.0360783543383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3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715.67692875486136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954.23590500648174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1272.3145400086423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1696.4193866781898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2261.8925155709198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3015.8566874278931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4021.1422499038572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5361.5229998718096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7148.6973331624131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4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582.09010503357501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831.55729290510715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1187.9389898644388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1697.0556998063412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2424.3652854376305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3463.3789791966155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4947.6842559951656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7068.1203657073793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10097.3148081534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5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772.22910731991828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1103.1844390284548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1575.9777700406498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2251.3968143437855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3216.2811633482652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4594.6873762118075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6563.8391088740118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9376.9130126771597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13395.590018110228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6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858.94114486738749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1227.0587783819822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1752.9411119742604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2504.2015885346577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3577.4308407637968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5110.6154868054246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7300.879266864893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10429.827524092705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14899.753605846723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7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965.52863727154875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1379.3266246736412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1970.4666066766304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2814.9522952523293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4021.3604217890424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5744.8006025557752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8206.8580036511084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11724.082862358726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16748.689803369609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8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1267.1728209115151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1810.2468870164503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2586.066981452072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3694.3814020743889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5277.6877172491277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7539.553881784469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10770.7912596921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15386.844656703001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21981.206652432858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29"/>
  <dimension ref="A1:E12"/>
  <sheetViews>
    <sheetView workbookViewId="0">
      <selection sqref="A1:E12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2">
        <v>0</v>
      </c>
      <c r="B2" s="20">
        <v>0</v>
      </c>
      <c r="C2" s="24">
        <v>0</v>
      </c>
      <c r="D2" s="24">
        <v>0</v>
      </c>
      <c r="E2" s="18"/>
    </row>
    <row r="3" spans="1:5" x14ac:dyDescent="0.25">
      <c r="A3" s="22">
        <v>10</v>
      </c>
      <c r="B3" s="20">
        <v>0</v>
      </c>
      <c r="C3" s="24">
        <v>0</v>
      </c>
      <c r="D3" s="24">
        <v>0</v>
      </c>
      <c r="E3" s="18"/>
    </row>
    <row r="4" spans="1:5" x14ac:dyDescent="0.25">
      <c r="A4" s="22">
        <v>25</v>
      </c>
      <c r="B4" s="20">
        <v>1447.4055946621702</v>
      </c>
      <c r="C4" s="20">
        <v>0.7745966692414834</v>
      </c>
      <c r="D4" s="20">
        <v>0.6</v>
      </c>
      <c r="E4" s="18"/>
    </row>
    <row r="5" spans="1:5" x14ac:dyDescent="0.25">
      <c r="A5" s="22">
        <v>30</v>
      </c>
      <c r="B5" s="20">
        <v>2067.7222780888146</v>
      </c>
      <c r="C5" s="20">
        <v>0.78660663612761372</v>
      </c>
      <c r="D5" s="20">
        <v>0.61875000000000002</v>
      </c>
      <c r="E5" s="18"/>
    </row>
    <row r="6" spans="1:5" x14ac:dyDescent="0.25">
      <c r="A6" s="22">
        <v>40</v>
      </c>
      <c r="B6" s="20">
        <v>2953.8889686983071</v>
      </c>
      <c r="C6" s="20">
        <v>0.78472925267253801</v>
      </c>
      <c r="D6" s="20">
        <v>0.61580000000000001</v>
      </c>
      <c r="E6" s="18"/>
    </row>
    <row r="7" spans="1:5" x14ac:dyDescent="0.25">
      <c r="A7" s="22">
        <v>50</v>
      </c>
      <c r="B7" s="20">
        <v>4219.8413838547249</v>
      </c>
      <c r="C7" s="20">
        <v>0.76563045916421058</v>
      </c>
      <c r="D7" s="20">
        <v>0.58618999999999999</v>
      </c>
      <c r="E7" s="18"/>
    </row>
    <row r="8" spans="1:5" x14ac:dyDescent="0.25">
      <c r="A8" s="22">
        <v>60</v>
      </c>
      <c r="B8" s="20">
        <v>6028.3448340781788</v>
      </c>
      <c r="C8" s="20">
        <v>0.75519533896866708</v>
      </c>
      <c r="D8" s="20">
        <v>0.57032000000000005</v>
      </c>
      <c r="E8" s="18"/>
    </row>
    <row r="9" spans="1:5" x14ac:dyDescent="0.25">
      <c r="A9" s="22">
        <v>70</v>
      </c>
      <c r="B9" s="20">
        <v>8611.9211915402557</v>
      </c>
      <c r="C9" s="20">
        <v>0.70335623975336992</v>
      </c>
      <c r="D9" s="20">
        <v>0.49470999999999998</v>
      </c>
      <c r="E9" s="18"/>
    </row>
    <row r="10" spans="1:5" x14ac:dyDescent="0.25">
      <c r="A10" s="22">
        <v>80</v>
      </c>
      <c r="B10" s="20">
        <v>12302.744559343222</v>
      </c>
      <c r="C10" s="20">
        <v>0.71713318149420469</v>
      </c>
      <c r="D10" s="20">
        <v>0.51427999999999996</v>
      </c>
      <c r="E10" s="18"/>
    </row>
    <row r="11" spans="1:5" x14ac:dyDescent="0.25">
      <c r="A11" s="22">
        <v>90</v>
      </c>
      <c r="B11" s="20">
        <v>17575.349370490319</v>
      </c>
      <c r="C11" s="20">
        <v>0.75946033471143171</v>
      </c>
      <c r="D11" s="20">
        <v>0.57677999999999996</v>
      </c>
      <c r="E11" s="18"/>
    </row>
    <row r="12" spans="1:5" ht="15.75" thickBot="1" x14ac:dyDescent="0.3">
      <c r="A12" s="23">
        <v>100</v>
      </c>
      <c r="B12" s="21">
        <v>25107.641957843316</v>
      </c>
      <c r="C12" s="21">
        <v>0.78051265204351428</v>
      </c>
      <c r="D12" s="21">
        <v>0.60919999999999996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0"/>
  <dimension ref="A1:E12"/>
  <sheetViews>
    <sheetView tabSelected="1" workbookViewId="0">
      <selection activeCell="H8" sqref="H8"/>
    </sheetView>
  </sheetViews>
  <sheetFormatPr defaultRowHeight="15" x14ac:dyDescent="0.25"/>
  <cols>
    <col min="1" max="5" width="15.7109375" customWidth="1"/>
  </cols>
  <sheetData>
    <row r="1" spans="1:5" ht="15.75" thickBot="1" x14ac:dyDescent="0.3">
      <c r="A1" s="5" t="s">
        <v>13</v>
      </c>
      <c r="B1" s="6" t="s">
        <v>14</v>
      </c>
      <c r="C1" s="6" t="s">
        <v>15</v>
      </c>
      <c r="D1" s="6" t="s">
        <v>16</v>
      </c>
      <c r="E1" s="7" t="s">
        <v>17</v>
      </c>
    </row>
    <row r="2" spans="1:5" x14ac:dyDescent="0.25">
      <c r="A2" s="26">
        <v>0</v>
      </c>
      <c r="B2" s="27">
        <v>0</v>
      </c>
      <c r="C2" s="27">
        <v>0.5</v>
      </c>
      <c r="D2" s="29">
        <v>0.23599999999999999</v>
      </c>
      <c r="E2" s="28"/>
    </row>
    <row r="3" spans="1:5" x14ac:dyDescent="0.25">
      <c r="A3" s="22">
        <v>10</v>
      </c>
      <c r="B3" s="20">
        <v>0</v>
      </c>
      <c r="C3" s="20">
        <v>0.5</v>
      </c>
      <c r="D3" s="30">
        <v>0.23599999999999999</v>
      </c>
      <c r="E3" s="18"/>
    </row>
    <row r="4" spans="1:5" x14ac:dyDescent="0.25">
      <c r="A4" s="22">
        <v>25</v>
      </c>
      <c r="B4" s="20">
        <v>200</v>
      </c>
      <c r="C4" s="20">
        <v>0.5</v>
      </c>
      <c r="D4" s="31">
        <v>0.23599999999999999</v>
      </c>
      <c r="E4" s="18"/>
    </row>
    <row r="5" spans="1:5" x14ac:dyDescent="0.25">
      <c r="A5" s="22">
        <v>30</v>
      </c>
      <c r="B5" s="20">
        <v>300</v>
      </c>
      <c r="C5" s="20">
        <v>0.5</v>
      </c>
      <c r="D5" s="31">
        <v>0.23599999999999999</v>
      </c>
      <c r="E5" s="18"/>
    </row>
    <row r="6" spans="1:5" x14ac:dyDescent="0.25">
      <c r="A6" s="22">
        <v>40</v>
      </c>
      <c r="B6" s="20">
        <v>500</v>
      </c>
      <c r="C6" s="20">
        <v>0.5</v>
      </c>
      <c r="D6" s="31">
        <v>0.23599999999999999</v>
      </c>
      <c r="E6" s="18"/>
    </row>
    <row r="7" spans="1:5" x14ac:dyDescent="0.25">
      <c r="A7" s="22">
        <v>50</v>
      </c>
      <c r="B7" s="20">
        <v>1500</v>
      </c>
      <c r="C7" s="20">
        <v>0.5</v>
      </c>
      <c r="D7" s="31">
        <v>0.23599999999999999</v>
      </c>
      <c r="E7" s="18"/>
    </row>
    <row r="8" spans="1:5" x14ac:dyDescent="0.25">
      <c r="A8" s="22">
        <v>60</v>
      </c>
      <c r="B8" s="20">
        <v>1800</v>
      </c>
      <c r="C8" s="20">
        <v>0.5</v>
      </c>
      <c r="D8" s="31">
        <v>0.23599999999999999</v>
      </c>
      <c r="E8" s="18"/>
    </row>
    <row r="9" spans="1:5" x14ac:dyDescent="0.25">
      <c r="A9" s="22">
        <v>75</v>
      </c>
      <c r="B9" s="20">
        <v>2029.4581854135793</v>
      </c>
      <c r="C9" s="20">
        <v>0.5</v>
      </c>
      <c r="D9" s="31">
        <v>0.23599999999999999</v>
      </c>
      <c r="E9" s="18"/>
    </row>
    <row r="10" spans="1:5" x14ac:dyDescent="0.25">
      <c r="A10" s="22">
        <v>83</v>
      </c>
      <c r="B10" s="20">
        <v>2100.9039477964861</v>
      </c>
      <c r="C10" s="20">
        <v>0.48</v>
      </c>
      <c r="D10" s="31">
        <v>0.23</v>
      </c>
      <c r="E10" s="18"/>
    </row>
    <row r="11" spans="1:5" x14ac:dyDescent="0.25">
      <c r="A11" s="22">
        <v>90</v>
      </c>
      <c r="B11" s="20">
        <v>2500</v>
      </c>
      <c r="C11" s="20">
        <v>0.5</v>
      </c>
      <c r="D11" s="31">
        <v>0.23</v>
      </c>
      <c r="E11" s="18"/>
    </row>
    <row r="12" spans="1:5" ht="15.75" thickBot="1" x14ac:dyDescent="0.3">
      <c r="A12" s="23">
        <v>100</v>
      </c>
      <c r="B12" s="21">
        <v>3000</v>
      </c>
      <c r="C12" s="21">
        <v>0.5</v>
      </c>
      <c r="D12" s="32">
        <v>0.23</v>
      </c>
      <c r="E12" s="19"/>
    </row>
  </sheetData>
  <hyperlinks>
    <hyperlink ref="E1" location="'Valve List'!A1" display="ValveList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28</vt:i4>
      </vt:variant>
    </vt:vector>
  </HeadingPairs>
  <TitlesOfParts>
    <vt:vector size="28" baseType="lpstr">
      <vt:lpstr>Valve List</vt:lpstr>
      <vt:lpstr>Valve_2.0_600_3</vt:lpstr>
      <vt:lpstr>Valve_3.0_600_3</vt:lpstr>
      <vt:lpstr>Valve_4.0_600_3</vt:lpstr>
      <vt:lpstr>Valve_6.0_600_3</vt:lpstr>
      <vt:lpstr>Valve_8.0_600_3</vt:lpstr>
      <vt:lpstr>Valve_8.0_150_3</vt:lpstr>
      <vt:lpstr>Valve_10.0_600_3</vt:lpstr>
      <vt:lpstr>Valve_12.0_600_3</vt:lpstr>
      <vt:lpstr>Valve_16.0_600_3</vt:lpstr>
      <vt:lpstr>Valve_20.0_600_3</vt:lpstr>
      <vt:lpstr>Valve_4.0_600_4</vt:lpstr>
      <vt:lpstr>Valve_6.0_600_4</vt:lpstr>
      <vt:lpstr>Valve_8.0_600_4</vt:lpstr>
      <vt:lpstr>Valve_8.0_600_4(Lineer)</vt:lpstr>
      <vt:lpstr>Valve_10.0_600_4</vt:lpstr>
      <vt:lpstr>Valve_12.0_600_4</vt:lpstr>
      <vt:lpstr>Valve_14.0_600_4</vt:lpstr>
      <vt:lpstr>Valve_16.0_600_4</vt:lpstr>
      <vt:lpstr>Valve_18.0_600_4</vt:lpstr>
      <vt:lpstr>Valve_20.0_600_4</vt:lpstr>
      <vt:lpstr>Valve_24.0_600_4</vt:lpstr>
      <vt:lpstr>Valve_28.0_600_4</vt:lpstr>
      <vt:lpstr>Valve_30.0_600_4</vt:lpstr>
      <vt:lpstr>Valve_32.0_600_4</vt:lpstr>
      <vt:lpstr>Valve_36.0_600_4</vt:lpstr>
      <vt:lpstr>Valve_40.0_600_4</vt:lpstr>
      <vt:lpstr>Valve_8.0_600_6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Gurkan Duran</cp:lastModifiedBy>
  <dcterms:created xsi:type="dcterms:W3CDTF">2025-07-08T06:07:01Z</dcterms:created>
  <dcterms:modified xsi:type="dcterms:W3CDTF">2026-05-04T06:13:31Z</dcterms:modified>
</cp:coreProperties>
</file>